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" sheetId="1" r:id="rId5"/>
    <sheet state="visible" name="Summary both $ and Hours" sheetId="2" r:id="rId6"/>
    <sheet state="visible" name="Summary of $ by person" sheetId="3" r:id="rId7"/>
  </sheets>
  <definedNames>
    <definedName hidden="1" localSheetId="0" name="_xlnm._FilterDatabase">detail!$A$1:$BY$35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<sst xmlns="http://schemas.openxmlformats.org/spreadsheetml/2006/main" count="169" uniqueCount="39">
  <si>
    <t xml:space="preserve">W/C code - pay </t>
  </si>
  <si>
    <t>Employee</t>
  </si>
  <si>
    <t>Total for year</t>
  </si>
  <si>
    <t>Percentage of total</t>
  </si>
  <si>
    <t>Percentage of Gross Payroll</t>
  </si>
  <si>
    <t xml:space="preserve"> </t>
  </si>
  <si>
    <t>Asbestos - 5473</t>
  </si>
  <si>
    <t>Avery Stone</t>
  </si>
  <si>
    <t>Janitorial  - 9014</t>
  </si>
  <si>
    <t xml:space="preserve">SUM of W/C code - pay </t>
  </si>
  <si>
    <t>SUM of Employee</t>
  </si>
  <si>
    <t>SUM of Total for year</t>
  </si>
  <si>
    <t>Paint - 5474</t>
  </si>
  <si>
    <t>Clerical - 8810</t>
  </si>
  <si>
    <t>Sales - 8742</t>
  </si>
  <si>
    <t>Grand Total</t>
  </si>
  <si>
    <t>Drew Hale</t>
  </si>
  <si>
    <t>Indigo Reyes</t>
  </si>
  <si>
    <t>Logan Pierce</t>
  </si>
  <si>
    <t>Blake Rivers</t>
  </si>
  <si>
    <t>Gray Lane (owner)</t>
  </si>
  <si>
    <t>Finley Park</t>
  </si>
  <si>
    <t>Jordan Wells</t>
  </si>
  <si>
    <t>Harper Cole</t>
  </si>
  <si>
    <t>Kai Brooks</t>
  </si>
  <si>
    <t>Casey Moore</t>
  </si>
  <si>
    <t>Emery Fox</t>
  </si>
  <si>
    <t>W/C code - Hours</t>
  </si>
  <si>
    <t>Janitorial - 9014</t>
  </si>
  <si>
    <t>Totals</t>
  </si>
  <si>
    <t>Gross Payroll</t>
  </si>
  <si>
    <t xml:space="preserve">Per Diem </t>
  </si>
  <si>
    <t>other reimbursement</t>
  </si>
  <si>
    <t>Bonus</t>
  </si>
  <si>
    <t>Emery</t>
  </si>
  <si>
    <t>Logan</t>
  </si>
  <si>
    <t>Indigo</t>
  </si>
  <si>
    <t>Travel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</si>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</sst>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"/>
    <numFmt numFmtId="166" formatCode="mm/dd/yy"/>
    <numFmt numFmtId="167" formatCode="M/d/yyyy"/>
    <numFmt numFmtId="168" formatCode="#,##0.0"/>
  </numFmts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4" numFmtId="10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5" numFmtId="164" xfId="0" applyFont="1" applyNumberFormat="1"/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7" xfId="0" applyFont="1" applyNumberFormat="1"/>
    <xf borderId="0" fillId="0" fontId="5" numFmtId="4" xfId="0" applyFont="1" applyNumberFormat="1"/>
    <xf borderId="0" fillId="0" fontId="5" numFmtId="3" xfId="0" applyFont="1" applyNumberFormat="1"/>
    <xf borderId="0" fillId="0" fontId="3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vertical="bottom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4" numFmtId="164" xfId="0" applyAlignment="1" applyFont="1" applyNumberFormat="1">
      <alignment horizontal="left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readingOrder="0" shrinkToFit="0" vertical="bottom" wrapText="0"/>
    </xf>
    <xf borderId="2" fillId="0" fontId="1" numFmtId="164" xfId="0" applyAlignment="1" applyBorder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left"/>
    </xf>
    <xf borderId="0" fillId="0" fontId="3" numFmtId="164" xfId="0" applyFont="1" applyNumberFormat="1"/>
    <xf borderId="0" fillId="0" fontId="3" numFmtId="164" xfId="0" applyFont="1" applyNumberFormat="1"/>
    <xf borderId="0" fillId="3" fontId="1" numFmtId="167" xfId="0" applyAlignment="1" applyFill="1" applyFont="1" applyNumberFormat="1">
      <alignment readingOrder="0" shrinkToFit="0" vertical="bottom" wrapText="0"/>
    </xf>
    <xf borderId="0" fillId="0" fontId="1" numFmtId="167" xfId="0" applyAlignment="1" applyFont="1" applyNumberFormat="1">
      <alignment horizontal="left"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2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shrinkToFit="0" vertical="bottom" wrapText="0"/>
    </xf>
    <xf borderId="0" fillId="0" fontId="3" numFmtId="167" xfId="0" applyFont="1" applyNumberFormat="1"/>
    <xf borderId="0" fillId="0" fontId="4" numFmtId="168" xfId="0" applyAlignment="1" applyFont="1" applyNumberFormat="1">
      <alignment horizontal="left" readingOrder="0" shrinkToFit="0" vertical="bottom" wrapText="0"/>
    </xf>
    <xf borderId="0" fillId="0" fontId="4" numFmtId="168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4" numFmtId="168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readingOrder="0" shrinkToFit="0" vertical="bottom" wrapText="0"/>
    </xf>
    <xf borderId="0" fillId="0" fontId="4" numFmtId="164" xfId="0" applyFont="1" applyNumberFormat="1"/>
    <xf borderId="0" fillId="0" fontId="3" numFmtId="0" xfId="0" applyAlignment="1" applyFont="1">
      <alignment horizontal="right" readingOrder="0" vertical="bottom"/>
    </xf>
    <xf borderId="0" fillId="0" fontId="4" numFmtId="3" xfId="0" applyAlignment="1" applyFont="1" applyNumberFormat="1">
      <alignment readingOrder="0" shrinkToFit="0" vertical="bottom" wrapText="0"/>
    </xf>
    <xf borderId="0" fillId="0" fontId="4" numFmtId="3" xfId="0" applyAlignment="1" applyFont="1" applyNumberFormat="1">
      <alignment horizontal="lef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shrinkToFit="0" vertical="bottom" wrapText="0"/>
    </xf>
    <xf borderId="0" fillId="0" fontId="3" numFmtId="3" xfId="0" applyFont="1" applyNumberFormat="1"/>
    <xf borderId="0" fillId="0" fontId="1" numFmtId="168" xfId="0" applyAlignment="1" applyFont="1" applyNumberFormat="1">
      <alignment horizontal="left" readingOrder="0" shrinkToFit="0" vertical="bottom" wrapText="0"/>
    </xf>
    <xf borderId="0" fillId="0" fontId="1" numFmtId="168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2" fillId="0" fontId="4" numFmtId="16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167" xfId="0" applyFont="1" applyNumberFormat="1"/>
    <xf borderId="0" fillId="0" fontId="3" numFmtId="164" xfId="0" applyAlignment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left"/>
    </xf>
    <xf borderId="0" fillId="0" fontId="2" numFmtId="167" xfId="0" applyAlignment="1" applyFont="1" applyNumberFormat="1">
      <alignment vertical="bottom"/>
    </xf>
    <xf borderId="0" fillId="0" fontId="2" numFmtId="16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C33" sheet="detail"/>
  </cacheSource>
  <cacheFields>
    <cacheField name="W/C code - pay " numFmtId="0">
      <sharedItems>
        <s v="Asbestos - 5473"/>
        <s v="Janitorial  - 9014"/>
        <s v="Paint - 5474"/>
        <s v="Sales - 8742"/>
        <s v="Clerical - 8810"/>
      </sharedItems>
    </cacheField>
    <cacheField name="Employee" numFmtId="164">
      <sharedItems>
        <s v="Avery Stone"/>
        <s v="Blake Rivers"/>
        <s v="Casey Moore"/>
        <s v="Drew Hale"/>
        <s v="Emery Fox"/>
        <s v="Finley Park"/>
        <s v="Gray Lane (owner)"/>
        <s v="Harper Cole"/>
        <s v="Indigo Reyes"/>
        <s v="Jordan Wells"/>
        <s v="Kai Brooks"/>
        <s v="Logan Pierce"/>
      </sharedItems>
    </cacheField>
    <cacheField name="12/6/24" numFmtId="164">
      <sharedItems containsSemiMixedTypes="0" containsString="0" containsNumber="1">
        <n v="0.0"/>
        <n v="1879.31"/>
        <n v="1101.87"/>
        <n v="1189.67"/>
        <n v="1418.0"/>
        <n v="1022.35"/>
      </sharedItems>
    </cacheField>
    <cacheField name="12/13/24" numFmtId="164">
      <sharedItems containsSemiMixedTypes="0" containsString="0" containsNumber="1">
        <n v="969.39"/>
        <n v="980.38"/>
        <n v="0.0"/>
        <n v="855.83"/>
        <n v="661.32"/>
        <n v="1189.67"/>
        <n v="1418.0"/>
        <n v="1022.35"/>
        <n v="786.44"/>
        <n v="712.0"/>
      </sharedItems>
    </cacheField>
    <cacheField name="12/20/24" numFmtId="164">
      <sharedItems containsSemiMixedTypes="0" containsString="0" containsNumber="1">
        <n v="0.0"/>
        <n v="1449.37"/>
        <n v="1269.09"/>
        <n v="1189.67"/>
        <n v="1418.0"/>
        <n v="1022.35"/>
        <n v="607.52"/>
      </sharedItems>
    </cacheField>
    <cacheField name="12/27/24" numFmtId="164">
      <sharedItems containsSemiMixedTypes="0" containsString="0" containsNumber="1">
        <n v="0.0"/>
        <n v="1879.31"/>
        <n v="646.74"/>
        <n v="1189.67"/>
        <n v="1418.0"/>
        <n v="1022.35"/>
      </sharedItems>
    </cacheField>
    <cacheField name="1/3/25" numFmtId="164">
      <sharedItems containsSemiMixedTypes="0" containsString="0" containsNumber="1">
        <n v="0.0"/>
        <n v="1879.31"/>
        <n v="1188.9"/>
        <n v="1189.67"/>
        <n v="1418.0"/>
        <n v="1022.35"/>
      </sharedItems>
    </cacheField>
    <cacheField name="01/10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1/17/25" numFmtId="164">
      <sharedItems containsSemiMixedTypes="0" containsString="0" containsNumber="1">
        <n v="220.77"/>
        <n v="1272.03"/>
        <n v="0.0"/>
        <n v="542.99"/>
        <n v="798.11"/>
        <n v="421.69"/>
        <n v="814.27"/>
        <n v="1904.14"/>
        <n v="1022.35"/>
      </sharedItems>
    </cacheField>
    <cacheField name="01/24/25" numFmtId="164">
      <sharedItems containsSemiMixedTypes="0" containsString="0" containsNumber="1">
        <n v="1630.09"/>
        <n v="745.66"/>
        <n v="0.0"/>
        <n v="1122.4"/>
        <n v="889.19"/>
        <n v="1904.14"/>
        <n v="1022.35"/>
      </sharedItems>
    </cacheField>
    <cacheField name="1/31/25" numFmtId="164">
      <sharedItems containsSemiMixedTypes="0" containsString="0" containsNumber="1">
        <n v="2050.85"/>
        <n v="414.42"/>
        <n v="0.0"/>
        <n v="2755.38"/>
        <n v="158.63"/>
        <n v="2110.09"/>
        <n v="336.6"/>
        <n v="697.03"/>
        <n v="1904.14"/>
        <n v="1022.35"/>
      </sharedItems>
    </cacheField>
    <cacheField name="02/07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02/14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02/21/25" numFmtId="164">
      <sharedItems containsSemiMixedTypes="0" containsString="0" containsNumber="1">
        <n v="0.0"/>
        <n v="1272.03"/>
        <n v="972.69"/>
        <n v="1189.67"/>
        <n v="1904.14"/>
        <n v="1022.35"/>
      </sharedItems>
    </cacheField>
    <cacheField name="02/28/25" numFmtId="0">
      <sharedItems containsSemiMixedTypes="0" containsString="0" containsNumber="1">
        <n v="0.0"/>
        <n v="1093.12"/>
        <n v="798.11"/>
        <n v="489.87"/>
        <n v="1192.62"/>
        <n v="1904.14"/>
        <n v="1022.35"/>
      </sharedItems>
    </cacheField>
    <cacheField name="03/07/25" numFmtId="0">
      <sharedItems containsString="0" containsBlank="1" containsNumber="1">
        <n v="0.0"/>
        <n v="1462.29"/>
        <n v="1080.95"/>
        <m/>
        <n v="1140.39"/>
        <n v="1230.12"/>
        <n v="1904.14"/>
        <n v="1022.35"/>
      </sharedItems>
    </cacheField>
    <cacheField name="3/14/25" numFmtId="0">
      <sharedItems containsSemiMixedTypes="0" containsString="0" containsNumber="1">
        <n v="0.0"/>
        <n v="1879.31"/>
        <n v="1028.73"/>
        <n v="1189.67"/>
        <n v="1033.67"/>
        <n v="1904.14"/>
        <n v="1022.35"/>
      </sharedItems>
    </cacheField>
    <cacheField name="3/21/25" numFmtId="0">
      <sharedItems containsSemiMixedTypes="0" containsString="0" containsNumber="1">
        <n v="241.78"/>
        <n v="1349.81"/>
        <n v="0.0"/>
        <n v="1321.4"/>
        <n v="267.41"/>
        <n v="846.83"/>
        <n v="1189.67"/>
        <n v="1904.14"/>
        <n v="1022.35"/>
      </sharedItems>
    </cacheField>
    <cacheField name="3/28/25" numFmtId="0">
      <sharedItems containsSemiMixedTypes="0" containsString="0" containsNumber="1">
        <n v="1289.94"/>
        <n v="371.95"/>
        <n v="0.0"/>
        <n v="888.15"/>
        <n v="276.39"/>
        <n v="676.42"/>
        <n v="567.15"/>
        <n v="1189.67"/>
        <n v="1904.14"/>
        <n v="1022.35"/>
      </sharedItems>
    </cacheField>
    <cacheField name="4/4/25" numFmtId="164">
      <sharedItems containsSemiMixedTypes="0" containsString="0" containsNumber="1">
        <n v="0.0"/>
        <n v="1188.9"/>
        <n v="1189.67"/>
        <n v="1904.14"/>
        <n v="1022.35"/>
      </sharedItems>
    </cacheField>
    <cacheField name="4/11/25" numFmtId="164">
      <sharedItems containsSemiMixedTypes="0" containsString="0" containsNumber="1">
        <n v="0.0"/>
        <n v="1188.9"/>
        <n v="1052.0"/>
        <n v="986.26"/>
        <n v="1302.22"/>
        <n v="1904.14"/>
        <n v="1022.35"/>
      </sharedItems>
    </cacheField>
    <cacheField name="4/18/25" numFmtId="164">
      <sharedItems containsSemiMixedTypes="0" containsString="0" containsNumber="1">
        <n v="0.0"/>
        <n v="380.04"/>
        <n v="1032.44"/>
        <n v="1161.65"/>
        <n v="1651.12"/>
        <n v="1904.14"/>
        <n v="1022.35"/>
      </sharedItems>
    </cacheField>
    <cacheField name="4/25/25" numFmtId="164">
      <sharedItems containsSemiMixedTypes="0" containsString="0" containsNumber="1">
        <n v="0.0"/>
        <n v="1189.67"/>
        <n v="1289.84"/>
        <n v="1904.14"/>
        <n v="1022.35"/>
      </sharedItems>
    </cacheField>
    <cacheField name="5/2/25" numFmtId="164">
      <sharedItems containsSemiMixedTypes="0" containsString="0" containsNumber="1">
        <n v="0.0"/>
        <n v="1189.67"/>
        <n v="1459.85"/>
        <n v="1497.83"/>
        <n v="1904.14"/>
        <n v="1022.35"/>
      </sharedItems>
    </cacheField>
    <cacheField name="5/9/25" numFmtId="164">
      <sharedItems containsSemiMixedTypes="0" containsString="0" containsNumber="1">
        <n v="0.0"/>
        <n v="1189.67"/>
        <n v="1285.39"/>
        <n v="478.3"/>
        <n v="1651.12"/>
        <n v="1904.14"/>
        <n v="1022.35"/>
      </sharedItems>
    </cacheField>
    <cacheField name="5/16/25" numFmtId="164">
      <sharedItems containsSemiMixedTypes="0" containsString="0" containsNumber="1">
        <n v="0.0"/>
        <n v="1189.67"/>
        <n v="1275.65"/>
        <n v="1252.71"/>
        <n v="1904.14"/>
        <n v="1022.35"/>
        <n v="1020.62"/>
      </sharedItems>
    </cacheField>
    <cacheField name="5/23/25" numFmtId="164">
      <sharedItems containsSemiMixedTypes="0" containsString="0" containsNumber="1">
        <n v="0.0"/>
        <n v="1189.67"/>
        <n v="1275.65"/>
        <n v="1302.22"/>
        <n v="1904.14"/>
        <n v="1022.35"/>
        <n v="1020.62"/>
      </sharedItems>
    </cacheField>
    <cacheField name="5/30/25" numFmtId="164">
      <sharedItems containsSemiMixedTypes="0" containsString="0" containsNumber="1">
        <n v="0.0"/>
        <n v="1189.67"/>
        <n v="1275.65"/>
        <n v="1651.12"/>
        <n v="1904.14"/>
        <n v="1022.35"/>
        <n v="1262.38"/>
        <n v="1047.31"/>
      </sharedItems>
    </cacheField>
    <cacheField name="6/6/25" numFmtId="164">
      <sharedItems containsSemiMixedTypes="0" containsString="0" containsNumber="1">
        <n v="0.0"/>
        <n v="1189.67"/>
        <n v="1285.39"/>
        <n v="324.74"/>
        <n v="1651.12"/>
        <n v="1904.14"/>
        <n v="1022.35"/>
        <n v="1262.38"/>
        <n v="1627.33"/>
      </sharedItems>
    </cacheField>
    <cacheField name="6/13/25" numFmtId="164">
      <sharedItems containsSemiMixedTypes="0" containsString="0" containsNumber="1">
        <n v="0.0"/>
        <n v="1101.73"/>
        <n v="1285.39"/>
        <n v="1189.67"/>
        <n v="1904.14"/>
        <n v="1022.35"/>
      </sharedItems>
    </cacheField>
    <cacheField name="6/20/25" numFmtId="164">
      <sharedItems containsSemiMixedTypes="0" containsString="0" containsNumber="1">
        <n v="0.0"/>
        <n v="1189.67"/>
        <n v="1729.77"/>
        <n v="1708.36"/>
        <n v="1904.14"/>
        <n v="1022.35"/>
        <n v="1020.62"/>
        <n v="1787.29"/>
      </sharedItems>
    </cacheField>
    <cacheField name="6/27/25" numFmtId="164">
      <sharedItems containsSemiMixedTypes="0" containsString="0" containsNumber="1">
        <n v="0.0"/>
        <n v="244.87"/>
        <n v="993.26"/>
        <n v="263.07"/>
        <n v="897.56"/>
        <n v="324.74"/>
        <n v="1496.52"/>
        <n v="1904.14"/>
        <n v="1022.35"/>
        <n v="1277.78"/>
        <n v="1153.18"/>
      </sharedItems>
    </cacheField>
    <cacheField name="7/4/25" numFmtId="164">
      <sharedItems containsSemiMixedTypes="0" containsString="0" containsNumber="1">
        <n v="0.0"/>
        <n v="1189.67"/>
        <n v="1381.63"/>
        <n v="1472.97"/>
        <n v="1904.14"/>
        <n v="1022.35"/>
        <n v="1308.72"/>
        <n v="1051.64"/>
      </sharedItems>
    </cacheField>
    <cacheField name="7/11/25" numFmtId="164">
      <sharedItems containsSemiMixedTypes="0" containsString="0" containsNumber="1">
        <n v="0.0"/>
        <n v="1230.12"/>
        <n v="1302.71"/>
        <n v="1651.12"/>
        <n v="1904.14"/>
        <n v="1022.35"/>
        <n v="1273.31"/>
        <n v="1189.67"/>
      </sharedItems>
    </cacheField>
    <cacheField name="7/18/25" numFmtId="164">
      <sharedItems containsSemiMixedTypes="0" containsString="0" containsNumber="1">
        <n v="0.0"/>
        <n v="969.33"/>
        <n v="950.0"/>
        <n v="1651.12"/>
        <n v="1904.14"/>
        <n v="1022.35"/>
        <n v="1189.67"/>
      </sharedItems>
    </cacheField>
    <cacheField name="7/25/25" numFmtId="164">
      <sharedItems containsSemiMixedTypes="0" containsString="0" containsNumber="1">
        <n v="0.0"/>
        <n v="1189.67"/>
        <n v="1651.12"/>
        <n v="1904.14"/>
        <n v="1022.35"/>
        <n v="270.88"/>
        <n v="1230.12"/>
      </sharedItems>
    </cacheField>
    <cacheField name="8/1/25" numFmtId="164">
      <sharedItems containsSemiMixedTypes="0" containsString="0" containsNumber="1">
        <n v="0.0"/>
        <n v="1189.67"/>
        <n v="1651.12"/>
        <n v="1904.14"/>
        <n v="1022.35"/>
        <n v="828.4"/>
      </sharedItems>
    </cacheField>
    <cacheField name="8/8/25" numFmtId="164">
      <sharedItems containsSemiMixedTypes="0" containsString="0" containsNumber="1">
        <n v="0.0"/>
        <n v="177.78"/>
        <n v="246.74"/>
        <n v="1060.34"/>
        <n v="1904.14"/>
        <n v="1022.35"/>
        <n v="1288.09"/>
        <n v="1021.64"/>
      </sharedItems>
    </cacheField>
    <cacheField name="08/15/25" numFmtId="164">
      <sharedItems containsSemiMixedTypes="0" containsString="0" containsNumber="1">
        <n v="0.0"/>
        <n v="1189.67"/>
        <n v="1741.96"/>
        <n v="1904.14"/>
        <n v="1022.35"/>
        <n v="1227.61"/>
      </sharedItems>
    </cacheField>
    <cacheField name="8/22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8/29/25" numFmtId="164">
      <sharedItems containsSemiMixedTypes="0" containsString="0" containsNumber="1">
        <n v="0.0"/>
        <n v="1189.67"/>
        <n v="1319.16"/>
        <n v="1904.14"/>
        <n v="1022.35"/>
      </sharedItems>
    </cacheField>
    <cacheField name="9/5/25" numFmtId="164">
      <sharedItems containsSemiMixedTypes="0" containsString="0" containsNumber="1">
        <n v="0.0"/>
        <n v="1189.67"/>
        <n v="1651.12"/>
        <n v="1904.14"/>
        <n v="1022.35"/>
        <n v="1020.62"/>
        <n v="1004.67"/>
      </sharedItems>
    </cacheField>
    <cacheField name="9/12/25" numFmtId="164">
      <sharedItems containsSemiMixedTypes="0" containsString="0" containsNumber="1">
        <n v="0.0"/>
        <n v="393.24"/>
        <n v="584.53"/>
        <n v="502.87"/>
        <n v="939.01"/>
        <n v="1904.14"/>
        <n v="1022.35"/>
        <n v="270.88"/>
        <n v="1189.67"/>
      </sharedItems>
    </cacheField>
    <cacheField name="9/19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9/26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10/3/25" numFmtId="164">
      <sharedItems containsSemiMixedTypes="0" containsString="0" containsNumber="1">
        <n v="0.0"/>
        <n v="1275.65"/>
        <n v="1651.12"/>
        <n v="1904.14"/>
        <n v="1022.35"/>
      </sharedItems>
    </cacheField>
    <cacheField name="10/10/25" numFmtId="164">
      <sharedItems containsSemiMixedTypes="0" containsString="0" containsNumber="1">
        <n v="0.0"/>
        <n v="1009.16"/>
        <n v="1651.12"/>
        <n v="1904.14"/>
        <n v="1022.35"/>
        <n v="1275.65"/>
      </sharedItems>
    </cacheField>
    <cacheField name="10/17/25" numFmtId="164">
      <sharedItems containsSemiMixedTypes="0" containsString="0" containsNumber="1">
        <n v="0.0"/>
        <n v="1188.23"/>
        <n v="1651.12"/>
        <n v="1904.14"/>
        <n v="1022.35"/>
        <n v="1275.65"/>
      </sharedItems>
    </cacheField>
    <cacheField name="10/24/25" numFmtId="164">
      <sharedItems containsSemiMixedTypes="0" containsString="0" containsNumber="1">
        <n v="0.0"/>
        <n v="467.06"/>
        <n v="1180.88"/>
        <n v="1904.14"/>
        <n v="1022.35"/>
        <n v="1275.65"/>
      </sharedItems>
    </cacheField>
    <cacheField name="10/31/25" numFmtId="164">
      <sharedItems containsSemiMixedTypes="0" containsString="0" containsNumber="1">
        <n v="0.0"/>
        <n v="561.34"/>
        <n v="599.78"/>
        <n v="829.76"/>
        <n v="665.85"/>
        <n v="1904.14"/>
        <n v="1022.35"/>
        <n v="576.18"/>
        <n v="548.38"/>
        <n v="1032.44"/>
      </sharedItems>
    </cacheField>
    <cacheField name="11/7/25" numFmtId="164">
      <sharedItems containsSemiMixedTypes="0" containsString="0" containsNumber="1">
        <n v="0.0"/>
        <n v="1275.65"/>
        <n v="502.87"/>
        <n v="872.96"/>
        <n v="1904.14"/>
        <n v="1022.35"/>
        <n v="140.25"/>
        <n v="997.37"/>
        <n v="1189.67"/>
      </sharedItems>
    </cacheField>
    <cacheField name="11/14/25" numFmtId="164">
      <sharedItems containsSemiMixedTypes="0" containsString="0" containsNumber="1">
        <n v="0.0"/>
        <n v="1275.65"/>
        <n v="502.87"/>
        <n v="939.01"/>
        <n v="1904.14"/>
        <n v="1022.35"/>
        <n v="330.16"/>
        <n v="997.37"/>
        <n v="1189.67"/>
      </sharedItems>
    </cacheField>
    <cacheField name="11/21/25" numFmtId="164">
      <sharedItems containsSemiMixedTypes="0" containsString="0" containsNumber="1">
        <n v="0.0"/>
        <n v="1275.65"/>
        <n v="489.87"/>
        <n v="1007.18"/>
        <n v="1904.14"/>
        <n v="1022.35"/>
        <n v="448.25"/>
        <n v="860.06"/>
        <n v="1134.99"/>
      </sharedItems>
    </cacheField>
    <cacheField name="11/28/25" numFmtId="164">
      <sharedItems containsSemiMixedTypes="0" containsString="0" containsNumber="1">
        <n v="0.0"/>
        <n v="1286.8"/>
        <n v="1651.12"/>
        <n v="1904.14"/>
        <n v="1022.35"/>
        <n v="1275.65"/>
        <n v="1189.67"/>
      </sharedItems>
    </cacheField>
    <cacheField name="Total for year" numFmtId="164">
      <sharedItems containsSemiMixedTypes="0" containsString="0" containsNumber="1">
        <n v="6402.82"/>
        <n v="23566.23"/>
        <n v="0.0"/>
        <n v="5042.35"/>
        <n v="17627.47"/>
        <n v="8176.8"/>
        <n v="51620.87"/>
        <n v="3789.58"/>
        <n v="39481.13"/>
        <n v="7026.7"/>
        <n v="45354.37"/>
        <n v="96584.58"/>
        <n v="53162.2"/>
        <n v="2077.94"/>
        <n v="1590.4"/>
        <n v="270.88"/>
        <n v="1494.84"/>
        <n v="32306.04"/>
        <n v="5736.44"/>
        <n v="13275.4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Y33" sheet="detail"/>
  </cacheSource>
  <cacheFields>
    <cacheField name="W/C code - pay " numFmtId="0">
      <sharedItems>
        <s v="Asbestos - 5473"/>
        <s v="Janitorial  - 9014"/>
        <s v="Paint - 5474"/>
        <s v="Sales - 8742"/>
        <s v="Clerical - 8810"/>
      </sharedItems>
    </cacheField>
    <cacheField name="Employee" numFmtId="164">
      <sharedItems>
        <s v="Avery Stone"/>
        <s v="Blake Rivers"/>
        <s v="Casey Moore"/>
        <s v="Drew Hale"/>
        <s v="Emery Fox"/>
        <s v="Finley Park"/>
        <s v="Gray Lane (owner)"/>
        <s v="Harper Cole"/>
        <s v="Indigo Reyes"/>
        <s v="Jordan Wells"/>
        <s v="Kai Brooks"/>
        <s v="Logan Pierce"/>
      </sharedItems>
    </cacheField>
    <cacheField name="12/6/24" numFmtId="164">
      <sharedItems containsSemiMixedTypes="0" containsString="0" containsNumber="1">
        <n v="0.0"/>
        <n v="1879.31"/>
        <n v="1101.87"/>
        <n v="1189.67"/>
        <n v="1418.0"/>
        <n v="1022.35"/>
      </sharedItems>
    </cacheField>
    <cacheField name="12/13/24" numFmtId="164">
      <sharedItems containsSemiMixedTypes="0" containsString="0" containsNumber="1">
        <n v="969.39"/>
        <n v="980.38"/>
        <n v="0.0"/>
        <n v="855.83"/>
        <n v="661.32"/>
        <n v="1189.67"/>
        <n v="1418.0"/>
        <n v="1022.35"/>
        <n v="786.44"/>
        <n v="712.0"/>
      </sharedItems>
    </cacheField>
    <cacheField name="12/20/24" numFmtId="164">
      <sharedItems containsSemiMixedTypes="0" containsString="0" containsNumber="1">
        <n v="0.0"/>
        <n v="1449.37"/>
        <n v="1269.09"/>
        <n v="1189.67"/>
        <n v="1418.0"/>
        <n v="1022.35"/>
        <n v="607.52"/>
      </sharedItems>
    </cacheField>
    <cacheField name="12/27/24" numFmtId="164">
      <sharedItems containsSemiMixedTypes="0" containsString="0" containsNumber="1">
        <n v="0.0"/>
        <n v="1879.31"/>
        <n v="646.74"/>
        <n v="1189.67"/>
        <n v="1418.0"/>
        <n v="1022.35"/>
      </sharedItems>
    </cacheField>
    <cacheField name="1/3/25" numFmtId="164">
      <sharedItems containsSemiMixedTypes="0" containsString="0" containsNumber="1">
        <n v="0.0"/>
        <n v="1879.31"/>
        <n v="1188.9"/>
        <n v="1189.67"/>
        <n v="1418.0"/>
        <n v="1022.35"/>
      </sharedItems>
    </cacheField>
    <cacheField name="01/10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1/17/25" numFmtId="164">
      <sharedItems containsSemiMixedTypes="0" containsString="0" containsNumber="1">
        <n v="220.77"/>
        <n v="1272.03"/>
        <n v="0.0"/>
        <n v="542.99"/>
        <n v="798.11"/>
        <n v="421.69"/>
        <n v="814.27"/>
        <n v="1904.14"/>
        <n v="1022.35"/>
      </sharedItems>
    </cacheField>
    <cacheField name="01/24/25" numFmtId="164">
      <sharedItems containsSemiMixedTypes="0" containsString="0" containsNumber="1">
        <n v="1630.09"/>
        <n v="745.66"/>
        <n v="0.0"/>
        <n v="1122.4"/>
        <n v="889.19"/>
        <n v="1904.14"/>
        <n v="1022.35"/>
      </sharedItems>
    </cacheField>
    <cacheField name="1/31/25" numFmtId="164">
      <sharedItems containsSemiMixedTypes="0" containsString="0" containsNumber="1">
        <n v="2050.85"/>
        <n v="414.42"/>
        <n v="0.0"/>
        <n v="2755.38"/>
        <n v="158.63"/>
        <n v="2110.09"/>
        <n v="336.6"/>
        <n v="697.03"/>
        <n v="1904.14"/>
        <n v="1022.35"/>
      </sharedItems>
    </cacheField>
    <cacheField name="02/07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02/14/25" numFmtId="164">
      <sharedItems containsSemiMixedTypes="0" containsString="0" containsNumber="1">
        <n v="0.0"/>
        <n v="1879.31"/>
        <n v="1188.9"/>
        <n v="1189.67"/>
        <n v="1904.14"/>
        <n v="1022.35"/>
      </sharedItems>
    </cacheField>
    <cacheField name="02/21/25" numFmtId="164">
      <sharedItems containsSemiMixedTypes="0" containsString="0" containsNumber="1">
        <n v="0.0"/>
        <n v="1272.03"/>
        <n v="972.69"/>
        <n v="1189.67"/>
        <n v="1904.14"/>
        <n v="1022.35"/>
      </sharedItems>
    </cacheField>
    <cacheField name="02/28/25" numFmtId="0">
      <sharedItems containsSemiMixedTypes="0" containsString="0" containsNumber="1">
        <n v="0.0"/>
        <n v="1093.12"/>
        <n v="798.11"/>
        <n v="489.87"/>
        <n v="1192.62"/>
        <n v="1904.14"/>
        <n v="1022.35"/>
      </sharedItems>
    </cacheField>
    <cacheField name="03/07/25" numFmtId="0">
      <sharedItems containsString="0" containsBlank="1" containsNumber="1">
        <n v="0.0"/>
        <n v="1462.29"/>
        <n v="1080.95"/>
        <m/>
        <n v="1140.39"/>
        <n v="1230.12"/>
        <n v="1904.14"/>
        <n v="1022.35"/>
      </sharedItems>
    </cacheField>
    <cacheField name="3/14/25" numFmtId="0">
      <sharedItems containsSemiMixedTypes="0" containsString="0" containsNumber="1">
        <n v="0.0"/>
        <n v="1879.31"/>
        <n v="1028.73"/>
        <n v="1189.67"/>
        <n v="1033.67"/>
        <n v="1904.14"/>
        <n v="1022.35"/>
      </sharedItems>
    </cacheField>
    <cacheField name="3/21/25" numFmtId="0">
      <sharedItems containsSemiMixedTypes="0" containsString="0" containsNumber="1">
        <n v="241.78"/>
        <n v="1349.81"/>
        <n v="0.0"/>
        <n v="1321.4"/>
        <n v="267.41"/>
        <n v="846.83"/>
        <n v="1189.67"/>
        <n v="1904.14"/>
        <n v="1022.35"/>
      </sharedItems>
    </cacheField>
    <cacheField name="3/28/25" numFmtId="0">
      <sharedItems containsSemiMixedTypes="0" containsString="0" containsNumber="1">
        <n v="1289.94"/>
        <n v="371.95"/>
        <n v="0.0"/>
        <n v="888.15"/>
        <n v="276.39"/>
        <n v="676.42"/>
        <n v="567.15"/>
        <n v="1189.67"/>
        <n v="1904.14"/>
        <n v="1022.35"/>
      </sharedItems>
    </cacheField>
    <cacheField name="4/4/25" numFmtId="164">
      <sharedItems containsSemiMixedTypes="0" containsString="0" containsNumber="1">
        <n v="0.0"/>
        <n v="1188.9"/>
        <n v="1189.67"/>
        <n v="1904.14"/>
        <n v="1022.35"/>
      </sharedItems>
    </cacheField>
    <cacheField name="4/11/25" numFmtId="164">
      <sharedItems containsSemiMixedTypes="0" containsString="0" containsNumber="1">
        <n v="0.0"/>
        <n v="1188.9"/>
        <n v="1052.0"/>
        <n v="986.26"/>
        <n v="1302.22"/>
        <n v="1904.14"/>
        <n v="1022.35"/>
      </sharedItems>
    </cacheField>
    <cacheField name="4/18/25" numFmtId="164">
      <sharedItems containsSemiMixedTypes="0" containsString="0" containsNumber="1">
        <n v="0.0"/>
        <n v="380.04"/>
        <n v="1032.44"/>
        <n v="1161.65"/>
        <n v="1651.12"/>
        <n v="1904.14"/>
        <n v="1022.35"/>
      </sharedItems>
    </cacheField>
    <cacheField name="4/25/25" numFmtId="164">
      <sharedItems containsSemiMixedTypes="0" containsString="0" containsNumber="1">
        <n v="0.0"/>
        <n v="1189.67"/>
        <n v="1289.84"/>
        <n v="1904.14"/>
        <n v="1022.35"/>
      </sharedItems>
    </cacheField>
    <cacheField name="5/2/25" numFmtId="164">
      <sharedItems containsSemiMixedTypes="0" containsString="0" containsNumber="1">
        <n v="0.0"/>
        <n v="1189.67"/>
        <n v="1459.85"/>
        <n v="1497.83"/>
        <n v="1904.14"/>
        <n v="1022.35"/>
      </sharedItems>
    </cacheField>
    <cacheField name="5/9/25" numFmtId="164">
      <sharedItems containsSemiMixedTypes="0" containsString="0" containsNumber="1">
        <n v="0.0"/>
        <n v="1189.67"/>
        <n v="1285.39"/>
        <n v="478.3"/>
        <n v="1651.12"/>
        <n v="1904.14"/>
        <n v="1022.35"/>
      </sharedItems>
    </cacheField>
    <cacheField name="5/16/25" numFmtId="164">
      <sharedItems containsSemiMixedTypes="0" containsString="0" containsNumber="1">
        <n v="0.0"/>
        <n v="1189.67"/>
        <n v="1275.65"/>
        <n v="1252.71"/>
        <n v="1904.14"/>
        <n v="1022.35"/>
        <n v="1020.62"/>
      </sharedItems>
    </cacheField>
    <cacheField name="5/23/25" numFmtId="164">
      <sharedItems containsSemiMixedTypes="0" containsString="0" containsNumber="1">
        <n v="0.0"/>
        <n v="1189.67"/>
        <n v="1275.65"/>
        <n v="1302.22"/>
        <n v="1904.14"/>
        <n v="1022.35"/>
        <n v="1020.62"/>
      </sharedItems>
    </cacheField>
    <cacheField name="5/30/25" numFmtId="164">
      <sharedItems containsSemiMixedTypes="0" containsString="0" containsNumber="1">
        <n v="0.0"/>
        <n v="1189.67"/>
        <n v="1275.65"/>
        <n v="1651.12"/>
        <n v="1904.14"/>
        <n v="1022.35"/>
        <n v="1262.38"/>
        <n v="1047.31"/>
      </sharedItems>
    </cacheField>
    <cacheField name="6/6/25" numFmtId="164">
      <sharedItems containsSemiMixedTypes="0" containsString="0" containsNumber="1">
        <n v="0.0"/>
        <n v="1189.67"/>
        <n v="1285.39"/>
        <n v="324.74"/>
        <n v="1651.12"/>
        <n v="1904.14"/>
        <n v="1022.35"/>
        <n v="1262.38"/>
        <n v="1627.33"/>
      </sharedItems>
    </cacheField>
    <cacheField name="6/13/25" numFmtId="164">
      <sharedItems containsSemiMixedTypes="0" containsString="0" containsNumber="1">
        <n v="0.0"/>
        <n v="1101.73"/>
        <n v="1285.39"/>
        <n v="1189.67"/>
        <n v="1904.14"/>
        <n v="1022.35"/>
      </sharedItems>
    </cacheField>
    <cacheField name="6/20/25" numFmtId="164">
      <sharedItems containsSemiMixedTypes="0" containsString="0" containsNumber="1">
        <n v="0.0"/>
        <n v="1189.67"/>
        <n v="1729.77"/>
        <n v="1708.36"/>
        <n v="1904.14"/>
        <n v="1022.35"/>
        <n v="1020.62"/>
        <n v="1787.29"/>
      </sharedItems>
    </cacheField>
    <cacheField name="6/27/25" numFmtId="164">
      <sharedItems containsSemiMixedTypes="0" containsString="0" containsNumber="1">
        <n v="0.0"/>
        <n v="244.87"/>
        <n v="993.26"/>
        <n v="263.07"/>
        <n v="897.56"/>
        <n v="324.74"/>
        <n v="1496.52"/>
        <n v="1904.14"/>
        <n v="1022.35"/>
        <n v="1277.78"/>
        <n v="1153.18"/>
      </sharedItems>
    </cacheField>
    <cacheField name="7/4/25" numFmtId="164">
      <sharedItems containsSemiMixedTypes="0" containsString="0" containsNumber="1">
        <n v="0.0"/>
        <n v="1189.67"/>
        <n v="1381.63"/>
        <n v="1472.97"/>
        <n v="1904.14"/>
        <n v="1022.35"/>
        <n v="1308.72"/>
        <n v="1051.64"/>
      </sharedItems>
    </cacheField>
    <cacheField name="7/11/25" numFmtId="164">
      <sharedItems containsSemiMixedTypes="0" containsString="0" containsNumber="1">
        <n v="0.0"/>
        <n v="1230.12"/>
        <n v="1302.71"/>
        <n v="1651.12"/>
        <n v="1904.14"/>
        <n v="1022.35"/>
        <n v="1273.31"/>
        <n v="1189.67"/>
      </sharedItems>
    </cacheField>
    <cacheField name="7/18/25" numFmtId="164">
      <sharedItems containsSemiMixedTypes="0" containsString="0" containsNumber="1">
        <n v="0.0"/>
        <n v="969.33"/>
        <n v="950.0"/>
        <n v="1651.12"/>
        <n v="1904.14"/>
        <n v="1022.35"/>
        <n v="1189.67"/>
      </sharedItems>
    </cacheField>
    <cacheField name="7/25/25" numFmtId="164">
      <sharedItems containsSemiMixedTypes="0" containsString="0" containsNumber="1">
        <n v="0.0"/>
        <n v="1189.67"/>
        <n v="1651.12"/>
        <n v="1904.14"/>
        <n v="1022.35"/>
        <n v="270.88"/>
        <n v="1230.12"/>
      </sharedItems>
    </cacheField>
    <cacheField name="8/1/25" numFmtId="164">
      <sharedItems containsSemiMixedTypes="0" containsString="0" containsNumber="1">
        <n v="0.0"/>
        <n v="1189.67"/>
        <n v="1651.12"/>
        <n v="1904.14"/>
        <n v="1022.35"/>
        <n v="828.4"/>
      </sharedItems>
    </cacheField>
    <cacheField name="8/8/25" numFmtId="164">
      <sharedItems containsSemiMixedTypes="0" containsString="0" containsNumber="1">
        <n v="0.0"/>
        <n v="177.78"/>
        <n v="246.74"/>
        <n v="1060.34"/>
        <n v="1904.14"/>
        <n v="1022.35"/>
        <n v="1288.09"/>
        <n v="1021.64"/>
      </sharedItems>
    </cacheField>
    <cacheField name="08/15/25" numFmtId="164">
      <sharedItems containsSemiMixedTypes="0" containsString="0" containsNumber="1">
        <n v="0.0"/>
        <n v="1189.67"/>
        <n v="1741.96"/>
        <n v="1904.14"/>
        <n v="1022.35"/>
        <n v="1227.61"/>
      </sharedItems>
    </cacheField>
    <cacheField name="8/22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8/29/25" numFmtId="164">
      <sharedItems containsSemiMixedTypes="0" containsString="0" containsNumber="1">
        <n v="0.0"/>
        <n v="1189.67"/>
        <n v="1319.16"/>
        <n v="1904.14"/>
        <n v="1022.35"/>
      </sharedItems>
    </cacheField>
    <cacheField name="9/5/25" numFmtId="164">
      <sharedItems containsSemiMixedTypes="0" containsString="0" containsNumber="1">
        <n v="0.0"/>
        <n v="1189.67"/>
        <n v="1651.12"/>
        <n v="1904.14"/>
        <n v="1022.35"/>
        <n v="1020.62"/>
        <n v="1004.67"/>
      </sharedItems>
    </cacheField>
    <cacheField name="9/12/25" numFmtId="164">
      <sharedItems containsSemiMixedTypes="0" containsString="0" containsNumber="1">
        <n v="0.0"/>
        <n v="393.24"/>
        <n v="584.53"/>
        <n v="502.87"/>
        <n v="939.01"/>
        <n v="1904.14"/>
        <n v="1022.35"/>
        <n v="270.88"/>
        <n v="1189.67"/>
      </sharedItems>
    </cacheField>
    <cacheField name="9/19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9/26/25" numFmtId="164">
      <sharedItems containsSemiMixedTypes="0" containsString="0" containsNumber="1">
        <n v="0.0"/>
        <n v="1189.67"/>
        <n v="1651.12"/>
        <n v="1904.14"/>
        <n v="1022.35"/>
      </sharedItems>
    </cacheField>
    <cacheField name="10/3/25" numFmtId="164">
      <sharedItems containsSemiMixedTypes="0" containsString="0" containsNumber="1">
        <n v="0.0"/>
        <n v="1275.65"/>
        <n v="1651.12"/>
        <n v="1904.14"/>
        <n v="1022.35"/>
      </sharedItems>
    </cacheField>
    <cacheField name="10/10/25" numFmtId="164">
      <sharedItems containsSemiMixedTypes="0" containsString="0" containsNumber="1">
        <n v="0.0"/>
        <n v="1009.16"/>
        <n v="1651.12"/>
        <n v="1904.14"/>
        <n v="1022.35"/>
        <n v="1275.65"/>
      </sharedItems>
    </cacheField>
    <cacheField name="10/17/25" numFmtId="164">
      <sharedItems containsSemiMixedTypes="0" containsString="0" containsNumber="1">
        <n v="0.0"/>
        <n v="1188.23"/>
        <n v="1651.12"/>
        <n v="1904.14"/>
        <n v="1022.35"/>
        <n v="1275.65"/>
      </sharedItems>
    </cacheField>
    <cacheField name="10/24/25" numFmtId="164">
      <sharedItems containsSemiMixedTypes="0" containsString="0" containsNumber="1">
        <n v="0.0"/>
        <n v="467.06"/>
        <n v="1180.88"/>
        <n v="1904.14"/>
        <n v="1022.35"/>
        <n v="1275.65"/>
      </sharedItems>
    </cacheField>
    <cacheField name="10/31/25" numFmtId="164">
      <sharedItems containsSemiMixedTypes="0" containsString="0" containsNumber="1">
        <n v="0.0"/>
        <n v="561.34"/>
        <n v="599.78"/>
        <n v="829.76"/>
        <n v="665.85"/>
        <n v="1904.14"/>
        <n v="1022.35"/>
        <n v="576.18"/>
        <n v="548.38"/>
        <n v="1032.44"/>
      </sharedItems>
    </cacheField>
    <cacheField name="11/7/25" numFmtId="164">
      <sharedItems containsSemiMixedTypes="0" containsString="0" containsNumber="1">
        <n v="0.0"/>
        <n v="1275.65"/>
        <n v="502.87"/>
        <n v="872.96"/>
        <n v="1904.14"/>
        <n v="1022.35"/>
        <n v="140.25"/>
        <n v="997.37"/>
        <n v="1189.67"/>
      </sharedItems>
    </cacheField>
    <cacheField name="11/14/25" numFmtId="164">
      <sharedItems containsSemiMixedTypes="0" containsString="0" containsNumber="1">
        <n v="0.0"/>
        <n v="1275.65"/>
        <n v="502.87"/>
        <n v="939.01"/>
        <n v="1904.14"/>
        <n v="1022.35"/>
        <n v="330.16"/>
        <n v="997.37"/>
        <n v="1189.67"/>
      </sharedItems>
    </cacheField>
    <cacheField name="11/21/25" numFmtId="164">
      <sharedItems containsSemiMixedTypes="0" containsString="0" containsNumber="1">
        <n v="0.0"/>
        <n v="1275.65"/>
        <n v="489.87"/>
        <n v="1007.18"/>
        <n v="1904.14"/>
        <n v="1022.35"/>
        <n v="448.25"/>
        <n v="860.06"/>
        <n v="1134.99"/>
      </sharedItems>
    </cacheField>
    <cacheField name="11/28/25" numFmtId="164">
      <sharedItems containsSemiMixedTypes="0" containsString="0" containsNumber="1">
        <n v="0.0"/>
        <n v="1286.8"/>
        <n v="1651.12"/>
        <n v="1904.14"/>
        <n v="1022.35"/>
        <n v="1275.65"/>
        <n v="1189.67"/>
      </sharedItems>
    </cacheField>
    <cacheField name="Total for year" numFmtId="164">
      <sharedItems containsSemiMixedTypes="0" containsString="0" containsNumber="1">
        <n v="6402.82"/>
        <n v="23566.23"/>
        <n v="0.0"/>
        <n v="5042.35"/>
        <n v="17627.47"/>
        <n v="8176.8"/>
        <n v="51620.87"/>
        <n v="3789.58"/>
        <n v="39481.13"/>
        <n v="7026.7"/>
        <n v="45354.37"/>
        <n v="96584.58"/>
        <n v="53162.2"/>
        <n v="2077.94"/>
        <n v="1590.4"/>
        <n v="270.88"/>
        <n v="1494.84"/>
        <n v="32306.04"/>
        <n v="5736.44"/>
        <n v="13275.47"/>
      </sharedItems>
    </cacheField>
    <cacheField name="Percentage of total" numFmtId="10">
      <sharedItems containsSemiMixedTypes="0" containsString="0" containsNumber="1">
        <n v="0.0152330746"/>
        <n v="0.0560668799"/>
        <n v="0.0"/>
        <n v="0.0119963538"/>
        <n v="0.0419378595"/>
        <n v="0.0194535852"/>
        <n v="0.1228122241"/>
        <n v="0.0090158641"/>
        <n v="0.0939303306"/>
        <n v="0.0167173598"/>
        <n v="0.107903471"/>
        <n v="0.2297862682"/>
        <n v="0.1264792325"/>
        <n v="0.0049436678"/>
        <n v="0.0037837518"/>
        <n v="0.0006444559"/>
        <n v="0.0035564032"/>
        <n v="0.0768599333"/>
        <n v="0.0136476769"/>
        <n v="0.031583931"/>
      </sharedItems>
    </cacheField>
    <cacheField name="Percentage of Gross Payroll" numFmtId="164">
      <sharedItems containsSemiMixedTypes="0" containsString="0" containsNumber="1">
        <n v="6402.82"/>
        <n v="23566.23"/>
        <n v="0.0"/>
        <n v="5042.35"/>
        <n v="17627.47"/>
        <n v="8176.8"/>
        <n v="51620.87"/>
        <n v="3789.58"/>
        <n v="39481.13"/>
        <n v="7026.7"/>
        <n v="45354.37"/>
        <n v="96584.58"/>
        <n v="53162.2"/>
        <n v="2077.94"/>
        <n v="1590.4"/>
        <n v="270.88"/>
        <n v="1494.84"/>
        <n v="32306.04"/>
        <n v="5736.44"/>
        <n v="13275.47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 both $ and Hours" cacheId="0" dataCaption="" compact="0" compactData="0">
  <location ref="A1:D7" firstHeaderRow="0" firstDataRow="2" firstDataCol="0"/>
  <pivotFields>
    <pivotField name="W/C code - pay " axis="axisRow" dataField="1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mploye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2/6/2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2/13/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12/20/24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12/27/2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/3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1/10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/1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01/24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1/3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02/07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14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21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28/2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03/07/25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3/14/2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3/21/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3/28/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4/4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4/11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4/1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4/25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5/2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5/9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16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23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30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6/6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6/13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6/20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6/2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7/4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7/1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7/1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7/25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8/1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8/8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08/15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8/22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8/29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9/5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9/12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9/19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9/26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10/3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10/10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17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24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3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11/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14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2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2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for ye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colFields>
    <field x="-2"/>
  </colFields>
  <dataFields>
    <dataField name="SUM of W/C code - pay " fld="0" baseField="0"/>
    <dataField name="SUM of Employee" fld="1" baseField="0"/>
    <dataField name="SUM of Total for year" fld="54" baseField="0"/>
  </dataFields>
</pivotTableDefinition>
</file>

<file path=xl/pivotTables/pivotTable2.xml><?xml version="1.0" encoding="utf-8"?>
<pivotTableDefinition xmlns="http://schemas.openxmlformats.org/spreadsheetml/2006/main" name="Summary of $ by person" cacheId="1" dataCaption="" compact="0" compactData="0">
  <location ref="A1:G15" firstHeaderRow="0" firstDataRow="1" firstDataCol="1"/>
  <pivotFields>
    <pivotField name="W/C code - pay " axis="axisCol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Employee" axis="axisRow" compact="0" numFmtId="164" outline="0" multipleItemSelectionAllowed="1" showAll="0" sortType="ascending">
      <items>
        <item x="3"/>
        <item x="8"/>
        <item x="11"/>
        <item x="6"/>
        <item x="5"/>
        <item x="9"/>
        <item x="7"/>
        <item x="1"/>
        <item x="10"/>
        <item x="2"/>
        <item x="4"/>
        <item x="0"/>
        <item t="default"/>
      </items>
    </pivotField>
    <pivotField name="12/6/2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2/13/2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12/20/24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12/27/2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/3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1/10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/1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01/24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1/3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02/07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14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21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02/28/2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03/07/25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3/14/2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3/21/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3/28/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4/4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4/11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4/1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4/25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5/2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5/9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16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23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5/30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6/6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6/13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6/20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6/2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7/4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7/1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7/1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7/25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8/1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8/8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08/15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8/22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8/29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9/5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9/12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9/19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9/26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10/3/25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10/10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17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24/25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0/3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11/7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14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21/25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11/28/25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for ye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ercentage of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ercentage of Gross Payrol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SUM of Total for year" fld="5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38"/>
    <col customWidth="1" min="2" max="2" width="16.13"/>
    <col customWidth="1" min="38" max="38" width="9.13"/>
    <col customWidth="1" min="56" max="56" width="16.75"/>
    <col customWidth="1" min="57" max="57" width="23.63"/>
    <col customWidth="1" min="59" max="59" width="26.0"/>
  </cols>
  <sheetData>
    <row r="1">
      <c r="A1" s="1" t="s">
        <v>0</v>
      </c>
      <c r="B1" s="2" t="s">
        <v>1</v>
      </c>
      <c r="C1" s="3">
        <v>45632.0</v>
      </c>
      <c r="D1" s="3">
        <v>45639.0</v>
      </c>
      <c r="E1" s="3">
        <v>45646.0</v>
      </c>
      <c r="F1" s="3">
        <v>45653.0</v>
      </c>
      <c r="G1" s="3">
        <v>45660.0</v>
      </c>
      <c r="H1" s="4">
        <v>45667.0</v>
      </c>
      <c r="I1" s="3">
        <v>45674.0</v>
      </c>
      <c r="J1" s="4">
        <v>45681.0</v>
      </c>
      <c r="K1" s="3">
        <v>45688.0</v>
      </c>
      <c r="L1" s="4">
        <v>45695.0</v>
      </c>
      <c r="M1" s="4">
        <v>45702.0</v>
      </c>
      <c r="N1" s="4">
        <v>45709.0</v>
      </c>
      <c r="O1" s="4">
        <v>45716.0</v>
      </c>
      <c r="P1" s="4">
        <v>45723.0</v>
      </c>
      <c r="Q1" s="3">
        <v>45730.0</v>
      </c>
      <c r="R1" s="3">
        <v>45737.0</v>
      </c>
      <c r="S1" s="3">
        <v>45744.0</v>
      </c>
      <c r="T1" s="3">
        <v>45751.0</v>
      </c>
      <c r="U1" s="3">
        <v>45758.0</v>
      </c>
      <c r="V1" s="3">
        <v>45765.0</v>
      </c>
      <c r="W1" s="3">
        <v>45772.0</v>
      </c>
      <c r="X1" s="3">
        <v>45779.0</v>
      </c>
      <c r="Y1" s="3">
        <v>45786.0</v>
      </c>
      <c r="Z1" s="3">
        <v>45793.0</v>
      </c>
      <c r="AA1" s="3">
        <v>45800.0</v>
      </c>
      <c r="AB1" s="3">
        <v>45807.0</v>
      </c>
      <c r="AC1" s="3">
        <v>45814.0</v>
      </c>
      <c r="AD1" s="3">
        <v>45821.0</v>
      </c>
      <c r="AE1" s="3">
        <v>45828.0</v>
      </c>
      <c r="AF1" s="3">
        <v>45835.0</v>
      </c>
      <c r="AG1" s="3">
        <v>45842.0</v>
      </c>
      <c r="AH1" s="3">
        <v>45849.0</v>
      </c>
      <c r="AI1" s="3">
        <v>45856.0</v>
      </c>
      <c r="AJ1" s="3">
        <v>45863.0</v>
      </c>
      <c r="AK1" s="3">
        <v>45870.0</v>
      </c>
      <c r="AL1" s="3">
        <v>45877.0</v>
      </c>
      <c r="AM1" s="4">
        <v>45884.0</v>
      </c>
      <c r="AN1" s="5">
        <v>45891.0</v>
      </c>
      <c r="AO1" s="5">
        <v>45898.0</v>
      </c>
      <c r="AP1" s="5">
        <v>45905.0</v>
      </c>
      <c r="AQ1" s="5">
        <v>45912.0</v>
      </c>
      <c r="AR1" s="5">
        <v>45919.0</v>
      </c>
      <c r="AS1" s="5">
        <v>45926.0</v>
      </c>
      <c r="AT1" s="5">
        <v>45933.0</v>
      </c>
      <c r="AU1" s="5">
        <v>45940.0</v>
      </c>
      <c r="AV1" s="5">
        <v>45947.0</v>
      </c>
      <c r="AW1" s="5">
        <v>45954.0</v>
      </c>
      <c r="AX1" s="5">
        <v>45961.0</v>
      </c>
      <c r="AY1" s="5">
        <v>45968.0</v>
      </c>
      <c r="AZ1" s="5">
        <v>45975.0</v>
      </c>
      <c r="BA1" s="5">
        <v>45982.0</v>
      </c>
      <c r="BB1" s="5">
        <v>45989.0</v>
      </c>
      <c r="BC1" s="6" t="s">
        <v>2</v>
      </c>
      <c r="BD1" s="6" t="s">
        <v>3</v>
      </c>
      <c r="BE1" s="6" t="s">
        <v>4</v>
      </c>
      <c r="BF1" s="7" t="s">
        <v>5</v>
      </c>
      <c r="BG1" s="8" t="s">
        <v>5</v>
      </c>
      <c r="BH1" s="8" t="s">
        <v>5</v>
      </c>
      <c r="BI1" s="8" t="s">
        <v>5</v>
      </c>
      <c r="BJ1" s="8" t="s">
        <v>5</v>
      </c>
      <c r="BK1" s="8" t="s">
        <v>5</v>
      </c>
      <c r="BL1" s="8" t="s">
        <v>5</v>
      </c>
      <c r="BM1" s="8" t="s">
        <v>5</v>
      </c>
      <c r="BN1" s="8" t="s">
        <v>5</v>
      </c>
      <c r="BO1" s="8" t="s">
        <v>5</v>
      </c>
      <c r="BP1" s="8" t="s">
        <v>5</v>
      </c>
      <c r="BQ1" s="8" t="s">
        <v>5</v>
      </c>
      <c r="BR1" s="8" t="s">
        <v>5</v>
      </c>
      <c r="BS1" s="8" t="s">
        <v>5</v>
      </c>
      <c r="BT1" s="8" t="s">
        <v>5</v>
      </c>
      <c r="BU1" s="8" t="s">
        <v>5</v>
      </c>
      <c r="BV1" s="8" t="s">
        <v>5</v>
      </c>
      <c r="BW1" s="8" t="s">
        <v>5</v>
      </c>
      <c r="BX1" s="8" t="s">
        <v>5</v>
      </c>
      <c r="BY1" s="8" t="s">
        <v>5</v>
      </c>
    </row>
    <row r="2">
      <c r="A2" s="9" t="s">
        <v>6</v>
      </c>
      <c r="B2" s="10" t="s">
        <v>7</v>
      </c>
      <c r="C2" s="11">
        <v>0.0</v>
      </c>
      <c r="D2" s="12">
        <v>969.39</v>
      </c>
      <c r="E2" s="11">
        <v>0.0</v>
      </c>
      <c r="F2" s="11">
        <v>0.0</v>
      </c>
      <c r="G2" s="11">
        <v>0.0</v>
      </c>
      <c r="H2" s="11">
        <v>0.0</v>
      </c>
      <c r="I2" s="11">
        <v>220.77</v>
      </c>
      <c r="J2" s="11">
        <v>1630.09</v>
      </c>
      <c r="K2" s="11">
        <v>2050.85</v>
      </c>
      <c r="L2" s="11">
        <v>0.0</v>
      </c>
      <c r="M2" s="11">
        <v>0.0</v>
      </c>
      <c r="N2" s="11">
        <v>0.0</v>
      </c>
      <c r="O2" s="13">
        <v>0.0</v>
      </c>
      <c r="P2" s="13">
        <v>0.0</v>
      </c>
      <c r="Q2" s="13">
        <v>0.0</v>
      </c>
      <c r="R2" s="13">
        <v>241.78</v>
      </c>
      <c r="S2" s="13">
        <v>1289.94</v>
      </c>
      <c r="T2" s="11">
        <v>0.0</v>
      </c>
      <c r="U2" s="11">
        <v>0.0</v>
      </c>
      <c r="V2" s="11">
        <v>0.0</v>
      </c>
      <c r="W2" s="11">
        <v>0.0</v>
      </c>
      <c r="X2" s="11">
        <v>0.0</v>
      </c>
      <c r="Y2" s="11">
        <v>0.0</v>
      </c>
      <c r="Z2" s="11">
        <v>0.0</v>
      </c>
      <c r="AA2" s="11">
        <v>0.0</v>
      </c>
      <c r="AB2" s="11">
        <v>0.0</v>
      </c>
      <c r="AC2" s="11">
        <v>0.0</v>
      </c>
      <c r="AD2" s="11">
        <v>0.0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v>0.0</v>
      </c>
      <c r="AS2" s="11">
        <v>0.0</v>
      </c>
      <c r="AT2" s="11">
        <v>0.0</v>
      </c>
      <c r="AU2" s="11">
        <v>0.0</v>
      </c>
      <c r="AV2" s="11">
        <v>0.0</v>
      </c>
      <c r="AW2" s="11">
        <v>0.0</v>
      </c>
      <c r="AX2" s="11">
        <v>0.0</v>
      </c>
      <c r="AY2" s="11">
        <v>0.0</v>
      </c>
      <c r="AZ2" s="11">
        <v>0.0</v>
      </c>
      <c r="BA2" s="11">
        <v>0.0</v>
      </c>
      <c r="BB2" s="11">
        <v>0.0</v>
      </c>
      <c r="BC2" s="14">
        <f t="shared" ref="BC2:BC33" si="1">SUM(C2:BB2)</f>
        <v>6402.82</v>
      </c>
      <c r="BD2" s="15">
        <f>SUM(BC2/BC34)</f>
        <v>0.0152330746</v>
      </c>
      <c r="BE2" s="12">
        <f>SUM(BF35*BD2)</f>
        <v>6402.82</v>
      </c>
      <c r="BF2" s="16"/>
      <c r="BG2" s="8"/>
      <c r="BH2" s="11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>
      <c r="A3" s="8" t="s">
        <v>8</v>
      </c>
      <c r="B3" s="10" t="s">
        <v>7</v>
      </c>
      <c r="C3" s="11">
        <v>1879.31</v>
      </c>
      <c r="D3" s="12">
        <v>980.38</v>
      </c>
      <c r="E3" s="11">
        <v>1449.37</v>
      </c>
      <c r="F3" s="11">
        <v>1879.31</v>
      </c>
      <c r="G3" s="11">
        <v>1879.31</v>
      </c>
      <c r="H3" s="11">
        <v>1879.31</v>
      </c>
      <c r="I3" s="11">
        <v>1272.03</v>
      </c>
      <c r="J3" s="11">
        <v>745.66</v>
      </c>
      <c r="K3" s="11">
        <v>414.42</v>
      </c>
      <c r="L3" s="11">
        <v>1879.31</v>
      </c>
      <c r="M3" s="11">
        <v>1879.31</v>
      </c>
      <c r="N3" s="11">
        <v>1272.03</v>
      </c>
      <c r="O3" s="13">
        <v>1093.12</v>
      </c>
      <c r="P3" s="13">
        <v>1462.29</v>
      </c>
      <c r="Q3" s="13">
        <v>1879.31</v>
      </c>
      <c r="R3" s="13">
        <v>1349.81</v>
      </c>
      <c r="S3" s="13">
        <v>371.95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0.0</v>
      </c>
      <c r="AA3" s="11">
        <v>0.0</v>
      </c>
      <c r="AB3" s="11">
        <v>0.0</v>
      </c>
      <c r="AC3" s="11">
        <v>0.0</v>
      </c>
      <c r="AD3" s="11">
        <v>0.0</v>
      </c>
      <c r="AE3" s="11">
        <v>0.0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v>0.0</v>
      </c>
      <c r="AS3" s="11">
        <v>0.0</v>
      </c>
      <c r="AT3" s="11">
        <v>0.0</v>
      </c>
      <c r="AU3" s="11">
        <v>0.0</v>
      </c>
      <c r="AV3" s="11">
        <v>0.0</v>
      </c>
      <c r="AW3" s="11">
        <v>0.0</v>
      </c>
      <c r="AX3" s="11">
        <v>0.0</v>
      </c>
      <c r="AY3" s="11">
        <v>0.0</v>
      </c>
      <c r="AZ3" s="11">
        <v>0.0</v>
      </c>
      <c r="BA3" s="11">
        <v>0.0</v>
      </c>
      <c r="BB3" s="11">
        <v>0.0</v>
      </c>
      <c r="BC3" s="14">
        <f t="shared" si="1"/>
        <v>23566.23</v>
      </c>
      <c r="BD3" s="15">
        <f>SUM(BC3/BC34)</f>
        <v>0.0560668799</v>
      </c>
      <c r="BE3" s="12">
        <f>SUM(BF35*BD3)</f>
        <v>23566.23</v>
      </c>
      <c r="BF3" s="16"/>
      <c r="BG3" s="8"/>
      <c r="BH3" s="11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</row>
    <row r="4">
      <c r="A4" s="9" t="s">
        <v>12</v>
      </c>
      <c r="B4" s="10" t="s">
        <v>7</v>
      </c>
      <c r="C4" s="11">
        <v>0.0</v>
      </c>
      <c r="D4" s="12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11">
        <v>0.0</v>
      </c>
      <c r="N4" s="11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0.0</v>
      </c>
      <c r="AG4" s="11">
        <v>0.0</v>
      </c>
      <c r="AH4" s="11">
        <v>0.0</v>
      </c>
      <c r="AI4" s="11">
        <v>0.0</v>
      </c>
      <c r="AJ4" s="11">
        <v>0.0</v>
      </c>
      <c r="AK4" s="11">
        <v>0.0</v>
      </c>
      <c r="AL4" s="11">
        <v>0.0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v>0.0</v>
      </c>
      <c r="AS4" s="11">
        <v>0.0</v>
      </c>
      <c r="AT4" s="11">
        <v>0.0</v>
      </c>
      <c r="AU4" s="11">
        <v>0.0</v>
      </c>
      <c r="AV4" s="11">
        <v>0.0</v>
      </c>
      <c r="AW4" s="11">
        <v>0.0</v>
      </c>
      <c r="AX4" s="11">
        <v>0.0</v>
      </c>
      <c r="AY4" s="11">
        <v>0.0</v>
      </c>
      <c r="AZ4" s="11">
        <v>0.0</v>
      </c>
      <c r="BA4" s="11">
        <v>0.0</v>
      </c>
      <c r="BB4" s="11">
        <v>0.0</v>
      </c>
      <c r="BC4" s="14">
        <f t="shared" si="1"/>
        <v>0.0</v>
      </c>
      <c r="BD4" s="15">
        <f>SUM(BC4/BC34)</f>
        <v>0.0</v>
      </c>
      <c r="BE4" s="12">
        <f>SUM(BF35*BD4)</f>
        <v>0.0</v>
      </c>
      <c r="BF4" s="16"/>
      <c r="BG4" s="8"/>
      <c r="BH4" s="11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>
      <c r="A5" s="9" t="s">
        <v>6</v>
      </c>
      <c r="B5" s="10" t="s">
        <v>19</v>
      </c>
      <c r="C5" s="11">
        <v>0.0</v>
      </c>
      <c r="D5" s="12">
        <v>855.83</v>
      </c>
      <c r="E5" s="11">
        <v>0.0</v>
      </c>
      <c r="F5" s="11">
        <v>0.0</v>
      </c>
      <c r="G5" s="11">
        <v>0.0</v>
      </c>
      <c r="H5" s="11">
        <v>0.0</v>
      </c>
      <c r="I5" s="11">
        <v>542.99</v>
      </c>
      <c r="J5" s="11">
        <v>0.0</v>
      </c>
      <c r="K5" s="11">
        <v>2755.38</v>
      </c>
      <c r="L5" s="11">
        <v>0.0</v>
      </c>
      <c r="M5" s="11">
        <v>0.0</v>
      </c>
      <c r="N5" s="11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888.15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0.0</v>
      </c>
      <c r="AK5" s="11">
        <v>0.0</v>
      </c>
      <c r="AL5" s="11">
        <v>0.0</v>
      </c>
      <c r="AM5" s="11">
        <v>0.0</v>
      </c>
      <c r="AN5" s="11">
        <v>0.0</v>
      </c>
      <c r="AO5" s="11">
        <v>0.0</v>
      </c>
      <c r="AP5" s="11">
        <v>0.0</v>
      </c>
      <c r="AQ5" s="11">
        <v>0.0</v>
      </c>
      <c r="AR5" s="11">
        <v>0.0</v>
      </c>
      <c r="AS5" s="11">
        <v>0.0</v>
      </c>
      <c r="AT5" s="11">
        <v>0.0</v>
      </c>
      <c r="AU5" s="11">
        <v>0.0</v>
      </c>
      <c r="AV5" s="11">
        <v>0.0</v>
      </c>
      <c r="AW5" s="11">
        <v>0.0</v>
      </c>
      <c r="AX5" s="11">
        <v>0.0</v>
      </c>
      <c r="AY5" s="11">
        <v>0.0</v>
      </c>
      <c r="AZ5" s="11">
        <v>0.0</v>
      </c>
      <c r="BA5" s="11">
        <v>0.0</v>
      </c>
      <c r="BB5" s="11">
        <v>0.0</v>
      </c>
      <c r="BC5" s="14">
        <f t="shared" si="1"/>
        <v>5042.35</v>
      </c>
      <c r="BD5" s="15">
        <f>SUM(BC5/BC34)</f>
        <v>0.0119963538</v>
      </c>
      <c r="BE5" s="12">
        <f>SUM(BF35*BD5)</f>
        <v>5042.35</v>
      </c>
      <c r="BF5" s="16"/>
      <c r="BG5" s="8"/>
      <c r="BH5" s="11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>
      <c r="A6" s="8" t="s">
        <v>8</v>
      </c>
      <c r="B6" s="10" t="s">
        <v>19</v>
      </c>
      <c r="C6" s="11">
        <v>1101.87</v>
      </c>
      <c r="D6" s="12">
        <v>661.32</v>
      </c>
      <c r="E6" s="11">
        <v>1269.09</v>
      </c>
      <c r="F6" s="11">
        <v>646.74</v>
      </c>
      <c r="G6" s="11">
        <v>1188.9</v>
      </c>
      <c r="H6" s="11">
        <v>1188.9</v>
      </c>
      <c r="I6" s="11">
        <v>798.11</v>
      </c>
      <c r="J6" s="11">
        <v>0.0</v>
      </c>
      <c r="K6" s="11">
        <v>158.63</v>
      </c>
      <c r="L6" s="11">
        <v>1188.9</v>
      </c>
      <c r="M6" s="11">
        <v>1188.9</v>
      </c>
      <c r="N6" s="11">
        <v>972.69</v>
      </c>
      <c r="O6" s="13">
        <v>798.11</v>
      </c>
      <c r="P6" s="13">
        <v>1080.95</v>
      </c>
      <c r="Q6" s="13">
        <v>1028.73</v>
      </c>
      <c r="R6" s="13">
        <v>1321.4</v>
      </c>
      <c r="S6" s="13">
        <v>276.39</v>
      </c>
      <c r="T6" s="11">
        <v>1188.9</v>
      </c>
      <c r="U6" s="11">
        <v>1188.9</v>
      </c>
      <c r="V6" s="11">
        <v>380.04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0.0</v>
      </c>
      <c r="AO6" s="11">
        <v>0.0</v>
      </c>
      <c r="AP6" s="11">
        <v>0.0</v>
      </c>
      <c r="AQ6" s="11">
        <v>0.0</v>
      </c>
      <c r="AR6" s="11">
        <v>0.0</v>
      </c>
      <c r="AS6" s="11">
        <v>0.0</v>
      </c>
      <c r="AT6" s="11">
        <v>0.0</v>
      </c>
      <c r="AU6" s="11">
        <v>0.0</v>
      </c>
      <c r="AV6" s="11">
        <v>0.0</v>
      </c>
      <c r="AW6" s="11">
        <v>0.0</v>
      </c>
      <c r="AX6" s="11">
        <v>0.0</v>
      </c>
      <c r="AY6" s="11">
        <v>0.0</v>
      </c>
      <c r="AZ6" s="11">
        <v>0.0</v>
      </c>
      <c r="BA6" s="11">
        <v>0.0</v>
      </c>
      <c r="BB6" s="11">
        <v>0.0</v>
      </c>
      <c r="BC6" s="14">
        <f t="shared" si="1"/>
        <v>17627.47</v>
      </c>
      <c r="BD6" s="15">
        <f>SUM(BC6/BC34)</f>
        <v>0.0419378595</v>
      </c>
      <c r="BE6" s="12">
        <f>SUM(BF35*BD6)</f>
        <v>17627.47</v>
      </c>
      <c r="BF6" s="16"/>
      <c r="BG6" s="8"/>
      <c r="BH6" s="11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>
      <c r="A7" s="9" t="s">
        <v>12</v>
      </c>
      <c r="B7" s="10" t="s">
        <v>19</v>
      </c>
      <c r="C7" s="11">
        <v>0.0</v>
      </c>
      <c r="D7" s="12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3">
        <v>0.0</v>
      </c>
      <c r="P7" s="13"/>
      <c r="Q7" s="13">
        <v>0.0</v>
      </c>
      <c r="R7" s="13">
        <v>0.0</v>
      </c>
      <c r="S7" s="13">
        <v>0.0</v>
      </c>
      <c r="T7" s="11">
        <v>0.0</v>
      </c>
      <c r="U7" s="11">
        <v>0.0</v>
      </c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v>0.0</v>
      </c>
      <c r="AS7" s="11">
        <v>0.0</v>
      </c>
      <c r="AT7" s="11">
        <v>0.0</v>
      </c>
      <c r="AU7" s="11">
        <v>0.0</v>
      </c>
      <c r="AV7" s="11">
        <v>0.0</v>
      </c>
      <c r="AW7" s="11">
        <v>0.0</v>
      </c>
      <c r="AX7" s="11">
        <v>0.0</v>
      </c>
      <c r="AY7" s="11">
        <v>0.0</v>
      </c>
      <c r="AZ7" s="11">
        <v>0.0</v>
      </c>
      <c r="BA7" s="11">
        <v>0.0</v>
      </c>
      <c r="BB7" s="11">
        <v>0.0</v>
      </c>
      <c r="BC7" s="14">
        <f t="shared" si="1"/>
        <v>0.0</v>
      </c>
      <c r="BD7" s="15">
        <f>SUM(BC7/BC34)</f>
        <v>0.0</v>
      </c>
      <c r="BE7" s="12">
        <f>SUM(BF35*BD7)</f>
        <v>0.0</v>
      </c>
      <c r="BF7" s="16"/>
      <c r="BG7" s="8"/>
      <c r="BH7" s="11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>
      <c r="A8" s="9" t="s">
        <v>6</v>
      </c>
      <c r="B8" s="10" t="s">
        <v>25</v>
      </c>
      <c r="C8" s="11">
        <v>0.0</v>
      </c>
      <c r="D8" s="12">
        <v>0.0</v>
      </c>
      <c r="E8" s="11">
        <v>0.0</v>
      </c>
      <c r="F8" s="11">
        <v>0.0</v>
      </c>
      <c r="G8" s="11">
        <v>0.0</v>
      </c>
      <c r="H8" s="11">
        <v>0.0</v>
      </c>
      <c r="I8" s="11">
        <v>421.69</v>
      </c>
      <c r="J8" s="11">
        <v>1122.4</v>
      </c>
      <c r="K8" s="11">
        <v>2110.09</v>
      </c>
      <c r="L8" s="11">
        <v>0.0</v>
      </c>
      <c r="M8" s="11">
        <v>0.0</v>
      </c>
      <c r="N8" s="11">
        <v>0.0</v>
      </c>
      <c r="O8" s="13">
        <v>0.0</v>
      </c>
      <c r="P8" s="13"/>
      <c r="Q8" s="13">
        <v>0.0</v>
      </c>
      <c r="R8" s="13">
        <v>267.41</v>
      </c>
      <c r="S8" s="13">
        <v>676.42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1189.67</v>
      </c>
      <c r="Z8" s="11">
        <v>0.0</v>
      </c>
      <c r="AA8" s="11">
        <v>0.0</v>
      </c>
      <c r="AB8" s="11">
        <v>0.0</v>
      </c>
      <c r="AC8" s="11">
        <v>0.0</v>
      </c>
      <c r="AD8" s="11">
        <v>0.0</v>
      </c>
      <c r="AE8" s="11">
        <v>0.0</v>
      </c>
      <c r="AF8" s="11">
        <v>244.87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24">
        <v>0.0</v>
      </c>
      <c r="AO8" s="24">
        <v>0.0</v>
      </c>
      <c r="AP8" s="24">
        <v>1189.67</v>
      </c>
      <c r="AQ8" s="24">
        <v>393.24</v>
      </c>
      <c r="AR8" s="24">
        <v>0.0</v>
      </c>
      <c r="AS8" s="24">
        <v>0.0</v>
      </c>
      <c r="AT8" s="24">
        <v>0.0</v>
      </c>
      <c r="AU8" s="24">
        <v>0.0</v>
      </c>
      <c r="AV8" s="24">
        <v>0.0</v>
      </c>
      <c r="AW8" s="24">
        <v>0.0</v>
      </c>
      <c r="AX8" s="24">
        <v>561.34</v>
      </c>
      <c r="AY8" s="24">
        <v>0.0</v>
      </c>
      <c r="AZ8" s="24">
        <v>0.0</v>
      </c>
      <c r="BA8" s="24">
        <v>0.0</v>
      </c>
      <c r="BB8" s="24">
        <v>0.0</v>
      </c>
      <c r="BC8" s="14">
        <f t="shared" si="1"/>
        <v>8176.8</v>
      </c>
      <c r="BD8" s="15">
        <f>SUM(BC8/BC34)</f>
        <v>0.0194535852</v>
      </c>
      <c r="BE8" s="12">
        <f>SUM(BF35*BD8)</f>
        <v>8176.8</v>
      </c>
      <c r="BF8" s="16"/>
      <c r="BG8" s="8"/>
      <c r="BH8" s="11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>
      <c r="A9" s="8" t="s">
        <v>8</v>
      </c>
      <c r="B9" s="10" t="s">
        <v>25</v>
      </c>
      <c r="C9" s="11">
        <v>1189.67</v>
      </c>
      <c r="D9" s="12">
        <v>1189.67</v>
      </c>
      <c r="E9" s="11">
        <v>1189.67</v>
      </c>
      <c r="F9" s="11">
        <v>1189.67</v>
      </c>
      <c r="G9" s="11">
        <v>1189.67</v>
      </c>
      <c r="H9" s="11">
        <v>1189.67</v>
      </c>
      <c r="I9" s="11">
        <v>814.27</v>
      </c>
      <c r="J9" s="11">
        <v>889.19</v>
      </c>
      <c r="K9" s="11">
        <v>336.6</v>
      </c>
      <c r="L9" s="11">
        <v>1189.67</v>
      </c>
      <c r="M9" s="11">
        <v>1189.67</v>
      </c>
      <c r="N9" s="11">
        <v>1189.67</v>
      </c>
      <c r="O9" s="13">
        <v>489.87</v>
      </c>
      <c r="P9" s="13">
        <v>1140.39</v>
      </c>
      <c r="Q9" s="13">
        <v>1189.67</v>
      </c>
      <c r="R9" s="13">
        <v>846.83</v>
      </c>
      <c r="S9" s="13">
        <v>567.15</v>
      </c>
      <c r="T9" s="11">
        <v>0.0</v>
      </c>
      <c r="U9" s="11">
        <v>1052.0</v>
      </c>
      <c r="V9" s="11">
        <v>1032.44</v>
      </c>
      <c r="W9" s="11">
        <v>1189.67</v>
      </c>
      <c r="X9" s="11">
        <v>1189.67</v>
      </c>
      <c r="Y9" s="11">
        <v>0.0</v>
      </c>
      <c r="Z9" s="11">
        <v>1189.67</v>
      </c>
      <c r="AA9" s="11">
        <v>1189.67</v>
      </c>
      <c r="AB9" s="11">
        <v>1189.67</v>
      </c>
      <c r="AC9" s="11">
        <v>1189.67</v>
      </c>
      <c r="AD9" s="11">
        <v>1101.73</v>
      </c>
      <c r="AE9" s="11">
        <v>1189.67</v>
      </c>
      <c r="AF9" s="11">
        <v>993.26</v>
      </c>
      <c r="AG9" s="11">
        <v>1189.67</v>
      </c>
      <c r="AH9" s="11">
        <v>1230.12</v>
      </c>
      <c r="AI9" s="11">
        <v>969.33</v>
      </c>
      <c r="AJ9" s="11">
        <v>1189.67</v>
      </c>
      <c r="AK9" s="11">
        <v>1189.67</v>
      </c>
      <c r="AL9" s="11">
        <v>177.78</v>
      </c>
      <c r="AM9" s="11">
        <v>1189.67</v>
      </c>
      <c r="AN9" s="24">
        <v>1189.67</v>
      </c>
      <c r="AO9" s="24">
        <v>1189.67</v>
      </c>
      <c r="AP9" s="24">
        <v>0.0</v>
      </c>
      <c r="AQ9" s="24">
        <v>584.53</v>
      </c>
      <c r="AR9" s="24">
        <v>1189.67</v>
      </c>
      <c r="AS9" s="24">
        <v>1189.67</v>
      </c>
      <c r="AT9" s="24">
        <v>1275.65</v>
      </c>
      <c r="AU9" s="24">
        <v>1009.16</v>
      </c>
      <c r="AV9" s="24">
        <v>1188.23</v>
      </c>
      <c r="AW9" s="24">
        <v>467.06</v>
      </c>
      <c r="AX9" s="24">
        <v>599.78</v>
      </c>
      <c r="AY9" s="24">
        <v>1275.65</v>
      </c>
      <c r="AZ9" s="24">
        <v>1275.65</v>
      </c>
      <c r="BA9" s="24">
        <v>1275.65</v>
      </c>
      <c r="BB9" s="24">
        <v>1286.8</v>
      </c>
      <c r="BC9" s="14">
        <f t="shared" si="1"/>
        <v>51620.87</v>
      </c>
      <c r="BD9" s="15">
        <f>SUM(BC9/BC34)</f>
        <v>0.1228122241</v>
      </c>
      <c r="BE9" s="12">
        <f>SUM(BF35*BD9)</f>
        <v>51620.87</v>
      </c>
      <c r="BF9" s="16"/>
      <c r="BG9" s="8"/>
      <c r="BH9" s="11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>
      <c r="A10" s="9" t="s">
        <v>12</v>
      </c>
      <c r="B10" s="10" t="s">
        <v>25</v>
      </c>
      <c r="C10" s="11">
        <v>0.0</v>
      </c>
      <c r="D10" s="12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0.0</v>
      </c>
      <c r="AK10" s="11">
        <v>0.0</v>
      </c>
      <c r="AL10" s="11">
        <v>0.0</v>
      </c>
      <c r="AM10" s="11">
        <v>0.0</v>
      </c>
      <c r="AN10" s="24">
        <v>0.0</v>
      </c>
      <c r="AO10" s="24">
        <v>0.0</v>
      </c>
      <c r="AP10" s="24">
        <v>0.0</v>
      </c>
      <c r="AQ10" s="24">
        <v>0.0</v>
      </c>
      <c r="AR10" s="24">
        <v>0.0</v>
      </c>
      <c r="AS10" s="24">
        <v>0.0</v>
      </c>
      <c r="AT10" s="24">
        <v>0.0</v>
      </c>
      <c r="AU10" s="24">
        <v>0.0</v>
      </c>
      <c r="AV10" s="24">
        <v>0.0</v>
      </c>
      <c r="AW10" s="24">
        <v>0.0</v>
      </c>
      <c r="AX10" s="24">
        <v>0.0</v>
      </c>
      <c r="AY10" s="24">
        <v>0.0</v>
      </c>
      <c r="AZ10" s="24">
        <v>0.0</v>
      </c>
      <c r="BA10" s="24">
        <v>0.0</v>
      </c>
      <c r="BB10" s="24">
        <v>0.0</v>
      </c>
      <c r="BC10" s="14">
        <f t="shared" si="1"/>
        <v>0.0</v>
      </c>
      <c r="BD10" s="15">
        <f>SUM(BC10/BC34)</f>
        <v>0.0</v>
      </c>
      <c r="BE10" s="12">
        <f>SUM(BF35*BD10)</f>
        <v>0.0</v>
      </c>
      <c r="BF10" s="16"/>
      <c r="BG10" s="8"/>
      <c r="BH10" s="11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>
      <c r="A11" s="9" t="s">
        <v>6</v>
      </c>
      <c r="B11" s="10" t="s">
        <v>16</v>
      </c>
      <c r="C11" s="11">
        <v>0.0</v>
      </c>
      <c r="D11" s="12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421.69</v>
      </c>
      <c r="J11" s="11">
        <v>1122.4</v>
      </c>
      <c r="K11" s="11">
        <v>697.03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1285.39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263.07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11">
        <v>0.0</v>
      </c>
      <c r="BA11" s="11">
        <v>0.0</v>
      </c>
      <c r="BB11" s="11">
        <v>0.0</v>
      </c>
      <c r="BC11" s="14">
        <f t="shared" si="1"/>
        <v>3789.58</v>
      </c>
      <c r="BD11" s="15">
        <f>SUM(BC11/BC34)</f>
        <v>0.0090158641</v>
      </c>
      <c r="BE11" s="12">
        <f>SUM(BF35*BD11)</f>
        <v>3789.58</v>
      </c>
      <c r="BF11" s="16"/>
      <c r="BG11" s="8"/>
      <c r="BH11" s="11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>
      <c r="A12" s="8" t="s">
        <v>8</v>
      </c>
      <c r="B12" s="10" t="s">
        <v>16</v>
      </c>
      <c r="C12" s="11">
        <v>1189.67</v>
      </c>
      <c r="D12" s="12">
        <v>1189.67</v>
      </c>
      <c r="E12" s="11">
        <v>1189.67</v>
      </c>
      <c r="F12" s="11">
        <v>1189.67</v>
      </c>
      <c r="G12" s="11">
        <v>1189.67</v>
      </c>
      <c r="H12" s="11">
        <v>1189.67</v>
      </c>
      <c r="I12" s="11">
        <v>814.27</v>
      </c>
      <c r="J12" s="11">
        <v>889.19</v>
      </c>
      <c r="K12" s="11">
        <v>2110.09</v>
      </c>
      <c r="L12" s="11">
        <v>1189.67</v>
      </c>
      <c r="M12" s="11">
        <v>1189.67</v>
      </c>
      <c r="N12" s="11">
        <v>1189.67</v>
      </c>
      <c r="O12" s="11">
        <v>1192.62</v>
      </c>
      <c r="P12" s="11">
        <v>1230.12</v>
      </c>
      <c r="Q12" s="11">
        <v>1033.67</v>
      </c>
      <c r="R12" s="11">
        <v>1189.67</v>
      </c>
      <c r="S12" s="11">
        <v>1189.67</v>
      </c>
      <c r="T12" s="11">
        <v>1189.67</v>
      </c>
      <c r="U12" s="11">
        <v>986.26</v>
      </c>
      <c r="V12" s="11">
        <v>1161.65</v>
      </c>
      <c r="W12" s="11">
        <v>1189.67</v>
      </c>
      <c r="X12" s="11">
        <v>1459.85</v>
      </c>
      <c r="Y12" s="11">
        <v>478.3</v>
      </c>
      <c r="Z12" s="11">
        <v>1275.65</v>
      </c>
      <c r="AA12" s="11">
        <v>1275.65</v>
      </c>
      <c r="AB12" s="11">
        <v>1275.65</v>
      </c>
      <c r="AC12" s="11">
        <v>1285.39</v>
      </c>
      <c r="AD12" s="11">
        <v>1285.39</v>
      </c>
      <c r="AE12" s="11">
        <v>1729.77</v>
      </c>
      <c r="AF12" s="11">
        <v>897.56</v>
      </c>
      <c r="AG12" s="11">
        <v>1381.63</v>
      </c>
      <c r="AH12" s="11">
        <v>1302.71</v>
      </c>
      <c r="AI12" s="11">
        <v>950.0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v>0.0</v>
      </c>
      <c r="AS12" s="11">
        <v>0.0</v>
      </c>
      <c r="AT12" s="11">
        <v>0.0</v>
      </c>
      <c r="AU12" s="11">
        <v>0.0</v>
      </c>
      <c r="AV12" s="11">
        <v>0.0</v>
      </c>
      <c r="AW12" s="11">
        <v>0.0</v>
      </c>
      <c r="AX12" s="11">
        <v>0.0</v>
      </c>
      <c r="AY12" s="11">
        <v>0.0</v>
      </c>
      <c r="AZ12" s="11">
        <v>0.0</v>
      </c>
      <c r="BA12" s="11">
        <v>0.0</v>
      </c>
      <c r="BB12" s="11">
        <v>0.0</v>
      </c>
      <c r="BC12" s="14">
        <f t="shared" si="1"/>
        <v>39481.13</v>
      </c>
      <c r="BD12" s="15">
        <f>SUM(BC12/BC34)</f>
        <v>0.0939303306</v>
      </c>
      <c r="BE12" s="12">
        <f>SUM(BF35*BD12)</f>
        <v>39481.13</v>
      </c>
      <c r="BF12" s="16"/>
      <c r="BG12" s="8"/>
      <c r="BH12" s="11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>
      <c r="A13" s="9" t="s">
        <v>12</v>
      </c>
      <c r="B13" s="10" t="s">
        <v>16</v>
      </c>
      <c r="C13" s="11">
        <v>0.0</v>
      </c>
      <c r="D13" s="12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1">
        <v>0.0</v>
      </c>
      <c r="AB13" s="11">
        <v>0.0</v>
      </c>
      <c r="AC13" s="11">
        <v>0.0</v>
      </c>
      <c r="AD13" s="11">
        <v>0.0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v>0.0</v>
      </c>
      <c r="AS13" s="11">
        <v>0.0</v>
      </c>
      <c r="AT13" s="11">
        <v>0.0</v>
      </c>
      <c r="AU13" s="11">
        <v>0.0</v>
      </c>
      <c r="AV13" s="11">
        <v>0.0</v>
      </c>
      <c r="AW13" s="11">
        <v>0.0</v>
      </c>
      <c r="AX13" s="11">
        <v>0.0</v>
      </c>
      <c r="AY13" s="11">
        <v>0.0</v>
      </c>
      <c r="AZ13" s="11">
        <v>0.0</v>
      </c>
      <c r="BA13" s="11">
        <v>0.0</v>
      </c>
      <c r="BB13" s="11">
        <v>0.0</v>
      </c>
      <c r="BC13" s="14">
        <f t="shared" si="1"/>
        <v>0.0</v>
      </c>
      <c r="BD13" s="15">
        <f>SUM(BC13/BC34)</f>
        <v>0.0</v>
      </c>
      <c r="BE13" s="12">
        <f>SUM(BF35*BD13)</f>
        <v>0.0</v>
      </c>
      <c r="BF13" s="16"/>
      <c r="BG13" s="8"/>
      <c r="BH13" s="11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>
      <c r="A14" s="9" t="s">
        <v>6</v>
      </c>
      <c r="B14" s="10" t="s">
        <v>26</v>
      </c>
      <c r="C14" s="11">
        <v>0.0</v>
      </c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0.0</v>
      </c>
      <c r="T14" s="11">
        <v>0.0</v>
      </c>
      <c r="U14" s="11">
        <v>0.0</v>
      </c>
      <c r="V14" s="11">
        <v>0.0</v>
      </c>
      <c r="W14" s="11">
        <v>0.0</v>
      </c>
      <c r="X14" s="25">
        <v>0.0</v>
      </c>
      <c r="Y14" s="25">
        <v>1651.12</v>
      </c>
      <c r="Z14" s="25">
        <v>0.0</v>
      </c>
      <c r="AA14" s="25">
        <v>0.0</v>
      </c>
      <c r="AB14" s="25">
        <v>0.0</v>
      </c>
      <c r="AC14" s="25">
        <v>324.74</v>
      </c>
      <c r="AD14" s="25">
        <v>0.0</v>
      </c>
      <c r="AE14" s="25">
        <v>0.0</v>
      </c>
      <c r="AF14" s="25">
        <v>324.74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5">
        <v>246.74</v>
      </c>
      <c r="AM14" s="25">
        <v>0.0</v>
      </c>
      <c r="AN14" s="24">
        <v>0.0</v>
      </c>
      <c r="AO14" s="24">
        <v>0.0</v>
      </c>
      <c r="AP14" s="24">
        <v>1651.12</v>
      </c>
      <c r="AQ14" s="24">
        <v>502.87</v>
      </c>
      <c r="AR14" s="24">
        <v>0.0</v>
      </c>
      <c r="AS14" s="24">
        <v>0.0</v>
      </c>
      <c r="AT14" s="24">
        <v>0.0</v>
      </c>
      <c r="AU14" s="24">
        <v>0.0</v>
      </c>
      <c r="AV14" s="24">
        <v>0.0</v>
      </c>
      <c r="AW14" s="24">
        <v>0.0</v>
      </c>
      <c r="AX14" s="24">
        <v>829.76</v>
      </c>
      <c r="AY14" s="24">
        <v>502.87</v>
      </c>
      <c r="AZ14" s="24">
        <v>502.87</v>
      </c>
      <c r="BA14" s="24">
        <v>489.87</v>
      </c>
      <c r="BB14" s="24">
        <v>0.0</v>
      </c>
      <c r="BC14" s="14">
        <f t="shared" si="1"/>
        <v>7026.7</v>
      </c>
      <c r="BD14" s="15">
        <f>SUM(BC14/BC34)</f>
        <v>0.0167173598</v>
      </c>
      <c r="BE14" s="12">
        <f>SUM(BF35*BD14)</f>
        <v>7026.7</v>
      </c>
      <c r="BF14" s="16"/>
      <c r="BG14" s="8"/>
      <c r="BH14" s="11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>
      <c r="A15" s="8" t="s">
        <v>8</v>
      </c>
      <c r="B15" s="10" t="s">
        <v>26</v>
      </c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T15" s="11">
        <v>0.0</v>
      </c>
      <c r="U15" s="11">
        <v>1302.22</v>
      </c>
      <c r="V15" s="11">
        <v>1651.12</v>
      </c>
      <c r="W15" s="11">
        <v>1289.84</v>
      </c>
      <c r="X15" s="25">
        <v>1497.83</v>
      </c>
      <c r="Y15" s="25">
        <v>0.0</v>
      </c>
      <c r="Z15" s="25">
        <v>1252.71</v>
      </c>
      <c r="AA15" s="25">
        <v>1302.22</v>
      </c>
      <c r="AB15" s="25">
        <v>1651.12</v>
      </c>
      <c r="AC15" s="25">
        <v>1651.12</v>
      </c>
      <c r="AD15" s="25">
        <v>1189.67</v>
      </c>
      <c r="AE15" s="25">
        <v>1708.36</v>
      </c>
      <c r="AF15" s="25">
        <v>1496.52</v>
      </c>
      <c r="AG15" s="25">
        <v>1472.97</v>
      </c>
      <c r="AH15" s="25">
        <v>1651.12</v>
      </c>
      <c r="AI15" s="25">
        <v>1651.12</v>
      </c>
      <c r="AJ15" s="25">
        <v>1651.12</v>
      </c>
      <c r="AK15" s="25">
        <v>1651.12</v>
      </c>
      <c r="AL15" s="25">
        <v>1060.34</v>
      </c>
      <c r="AM15" s="25">
        <v>1741.96</v>
      </c>
      <c r="AN15" s="24">
        <v>1651.12</v>
      </c>
      <c r="AO15" s="24">
        <v>1319.16</v>
      </c>
      <c r="AP15" s="24">
        <v>0.0</v>
      </c>
      <c r="AQ15" s="24">
        <v>939.01</v>
      </c>
      <c r="AR15" s="24">
        <v>1651.12</v>
      </c>
      <c r="AS15" s="24">
        <v>1651.12</v>
      </c>
      <c r="AT15" s="24">
        <v>1651.12</v>
      </c>
      <c r="AU15" s="24">
        <v>1651.12</v>
      </c>
      <c r="AV15" s="24">
        <v>1651.12</v>
      </c>
      <c r="AW15" s="24">
        <v>1180.88</v>
      </c>
      <c r="AX15" s="24">
        <v>665.85</v>
      </c>
      <c r="AY15" s="24">
        <v>872.96</v>
      </c>
      <c r="AZ15" s="24">
        <v>939.01</v>
      </c>
      <c r="BA15" s="24">
        <v>1007.18</v>
      </c>
      <c r="BB15" s="24">
        <v>1651.12</v>
      </c>
      <c r="BC15" s="14">
        <f t="shared" si="1"/>
        <v>45354.37</v>
      </c>
      <c r="BD15" s="15">
        <f>SUM(BC15/BC34)</f>
        <v>0.107903471</v>
      </c>
      <c r="BE15" s="12">
        <f>SUM(BF35*BD15)</f>
        <v>45354.37</v>
      </c>
      <c r="BF15" s="16"/>
      <c r="BG15" s="8"/>
      <c r="BH15" s="11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>
      <c r="A16" s="9" t="s">
        <v>12</v>
      </c>
      <c r="B16" s="10" t="s">
        <v>26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5">
        <v>0.0</v>
      </c>
      <c r="AM16" s="25">
        <v>0.0</v>
      </c>
      <c r="AN16" s="24">
        <v>0.0</v>
      </c>
      <c r="AO16" s="24">
        <v>0.0</v>
      </c>
      <c r="AP16" s="24">
        <v>0.0</v>
      </c>
      <c r="AQ16" s="24">
        <v>0.0</v>
      </c>
      <c r="AR16" s="24">
        <v>0.0</v>
      </c>
      <c r="AS16" s="24">
        <v>0.0</v>
      </c>
      <c r="AT16" s="24">
        <v>0.0</v>
      </c>
      <c r="AU16" s="24">
        <v>0.0</v>
      </c>
      <c r="AV16" s="24">
        <v>0.0</v>
      </c>
      <c r="AW16" s="24">
        <v>0.0</v>
      </c>
      <c r="AX16" s="24">
        <v>0.0</v>
      </c>
      <c r="AY16" s="24">
        <v>0.0</v>
      </c>
      <c r="AZ16" s="24">
        <v>0.0</v>
      </c>
      <c r="BA16" s="24">
        <v>0.0</v>
      </c>
      <c r="BB16" s="24">
        <v>0.0</v>
      </c>
      <c r="BC16" s="14">
        <f t="shared" si="1"/>
        <v>0.0</v>
      </c>
      <c r="BD16" s="15">
        <f>SUM(BC16/BC34)</f>
        <v>0.0</v>
      </c>
      <c r="BE16" s="12">
        <f>SUM(BF35*BD16)</f>
        <v>0.0</v>
      </c>
      <c r="BF16" s="16"/>
      <c r="BG16" s="8"/>
      <c r="BH16" s="11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>
      <c r="A17" s="9" t="s">
        <v>14</v>
      </c>
      <c r="B17" s="10" t="s">
        <v>21</v>
      </c>
      <c r="C17" s="11">
        <v>1418.0</v>
      </c>
      <c r="D17" s="12">
        <v>1418.0</v>
      </c>
      <c r="E17" s="12">
        <v>1418.0</v>
      </c>
      <c r="F17" s="12">
        <v>1418.0</v>
      </c>
      <c r="G17" s="11">
        <v>1418.0</v>
      </c>
      <c r="H17" s="11">
        <v>1904.14</v>
      </c>
      <c r="I17" s="11">
        <v>1904.14</v>
      </c>
      <c r="J17" s="11">
        <v>1904.14</v>
      </c>
      <c r="K17" s="11">
        <v>1904.14</v>
      </c>
      <c r="L17" s="11">
        <v>1904.14</v>
      </c>
      <c r="M17" s="11">
        <v>1904.14</v>
      </c>
      <c r="N17" s="11">
        <v>1904.14</v>
      </c>
      <c r="O17" s="11">
        <v>1904.14</v>
      </c>
      <c r="P17" s="11">
        <v>1904.14</v>
      </c>
      <c r="Q17" s="11">
        <v>1904.14</v>
      </c>
      <c r="R17" s="11">
        <v>1904.14</v>
      </c>
      <c r="S17" s="11">
        <v>1904.14</v>
      </c>
      <c r="T17" s="11">
        <v>1904.14</v>
      </c>
      <c r="U17" s="11">
        <v>1904.14</v>
      </c>
      <c r="V17" s="11">
        <v>1904.14</v>
      </c>
      <c r="W17" s="11">
        <v>1904.14</v>
      </c>
      <c r="X17" s="11">
        <v>1904.14</v>
      </c>
      <c r="Y17" s="11">
        <v>1904.14</v>
      </c>
      <c r="Z17" s="11">
        <v>1904.14</v>
      </c>
      <c r="AA17" s="11">
        <v>1904.14</v>
      </c>
      <c r="AB17" s="11">
        <v>1904.14</v>
      </c>
      <c r="AC17" s="11">
        <v>1904.14</v>
      </c>
      <c r="AD17" s="11">
        <v>1904.14</v>
      </c>
      <c r="AE17" s="11">
        <v>1904.14</v>
      </c>
      <c r="AF17" s="11">
        <v>1904.14</v>
      </c>
      <c r="AG17" s="11">
        <v>1904.14</v>
      </c>
      <c r="AH17" s="11">
        <v>1904.14</v>
      </c>
      <c r="AI17" s="11">
        <v>1904.14</v>
      </c>
      <c r="AJ17" s="11">
        <v>1904.14</v>
      </c>
      <c r="AK17" s="11">
        <v>1904.14</v>
      </c>
      <c r="AL17" s="11">
        <v>1904.14</v>
      </c>
      <c r="AM17" s="11">
        <v>1904.14</v>
      </c>
      <c r="AN17" s="11">
        <v>1904.14</v>
      </c>
      <c r="AO17" s="11">
        <v>1904.14</v>
      </c>
      <c r="AP17" s="11">
        <v>1904.14</v>
      </c>
      <c r="AQ17" s="11">
        <v>1904.14</v>
      </c>
      <c r="AR17" s="11">
        <v>1904.14</v>
      </c>
      <c r="AS17" s="11">
        <v>1904.14</v>
      </c>
      <c r="AT17" s="11">
        <v>1904.14</v>
      </c>
      <c r="AU17" s="11">
        <v>1904.14</v>
      </c>
      <c r="AV17" s="11">
        <v>1904.14</v>
      </c>
      <c r="AW17" s="11">
        <v>1904.14</v>
      </c>
      <c r="AX17" s="11">
        <v>1904.14</v>
      </c>
      <c r="AY17" s="11">
        <v>1904.14</v>
      </c>
      <c r="AZ17" s="11">
        <v>1904.14</v>
      </c>
      <c r="BA17" s="11">
        <v>1904.14</v>
      </c>
      <c r="BB17" s="11">
        <v>1904.14</v>
      </c>
      <c r="BC17" s="14">
        <f t="shared" si="1"/>
        <v>96584.58</v>
      </c>
      <c r="BD17" s="15">
        <f>SUM(BC17/BC34)</f>
        <v>0.2297862682</v>
      </c>
      <c r="BE17" s="12">
        <f>SUM(BF35*BD17)</f>
        <v>96584.58</v>
      </c>
      <c r="BF17" s="16"/>
      <c r="BG17" s="8"/>
      <c r="BH17" s="11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>
      <c r="A18" s="9" t="s">
        <v>13</v>
      </c>
      <c r="B18" s="26" t="s">
        <v>20</v>
      </c>
      <c r="C18" s="25">
        <v>1022.35</v>
      </c>
      <c r="D18" s="27">
        <v>1022.35</v>
      </c>
      <c r="E18" s="27">
        <v>1022.35</v>
      </c>
      <c r="F18" s="27">
        <v>1022.35</v>
      </c>
      <c r="G18" s="25">
        <v>1022.35</v>
      </c>
      <c r="H18" s="25">
        <v>1022.35</v>
      </c>
      <c r="I18" s="25">
        <v>1022.35</v>
      </c>
      <c r="J18" s="25">
        <v>1022.35</v>
      </c>
      <c r="K18" s="25">
        <v>1022.35</v>
      </c>
      <c r="L18" s="25">
        <v>1022.35</v>
      </c>
      <c r="M18" s="25">
        <v>1022.35</v>
      </c>
      <c r="N18" s="25">
        <v>1022.35</v>
      </c>
      <c r="O18" s="25">
        <v>1022.35</v>
      </c>
      <c r="P18" s="25">
        <v>1022.35</v>
      </c>
      <c r="Q18" s="25">
        <v>1022.35</v>
      </c>
      <c r="R18" s="25">
        <v>1022.35</v>
      </c>
      <c r="S18" s="25">
        <v>1022.35</v>
      </c>
      <c r="T18" s="25">
        <v>1022.35</v>
      </c>
      <c r="U18" s="25">
        <v>1022.35</v>
      </c>
      <c r="V18" s="25">
        <v>1022.35</v>
      </c>
      <c r="W18" s="25">
        <v>1022.35</v>
      </c>
      <c r="X18" s="25">
        <v>1022.35</v>
      </c>
      <c r="Y18" s="25">
        <v>1022.35</v>
      </c>
      <c r="Z18" s="25">
        <v>1022.35</v>
      </c>
      <c r="AA18" s="25">
        <v>1022.35</v>
      </c>
      <c r="AB18" s="25">
        <v>1022.35</v>
      </c>
      <c r="AC18" s="25">
        <v>1022.35</v>
      </c>
      <c r="AD18" s="25">
        <v>1022.35</v>
      </c>
      <c r="AE18" s="25">
        <v>1022.35</v>
      </c>
      <c r="AF18" s="25">
        <v>1022.35</v>
      </c>
      <c r="AG18" s="25">
        <v>1022.35</v>
      </c>
      <c r="AH18" s="25">
        <v>1022.35</v>
      </c>
      <c r="AI18" s="25">
        <v>1022.35</v>
      </c>
      <c r="AJ18" s="25">
        <v>1022.35</v>
      </c>
      <c r="AK18" s="25">
        <v>1022.35</v>
      </c>
      <c r="AL18" s="25">
        <v>1022.35</v>
      </c>
      <c r="AM18" s="25">
        <v>1022.35</v>
      </c>
      <c r="AN18" s="25">
        <v>1022.35</v>
      </c>
      <c r="AO18" s="25">
        <v>1022.35</v>
      </c>
      <c r="AP18" s="25">
        <v>1022.35</v>
      </c>
      <c r="AQ18" s="25">
        <v>1022.35</v>
      </c>
      <c r="AR18" s="25">
        <v>1022.35</v>
      </c>
      <c r="AS18" s="25">
        <v>1022.35</v>
      </c>
      <c r="AT18" s="25">
        <v>1022.35</v>
      </c>
      <c r="AU18" s="25">
        <v>1022.35</v>
      </c>
      <c r="AV18" s="25">
        <v>1022.35</v>
      </c>
      <c r="AW18" s="25">
        <v>1022.35</v>
      </c>
      <c r="AX18" s="25">
        <v>1022.35</v>
      </c>
      <c r="AY18" s="25">
        <v>1022.35</v>
      </c>
      <c r="AZ18" s="25">
        <v>1022.35</v>
      </c>
      <c r="BA18" s="25">
        <v>1022.35</v>
      </c>
      <c r="BB18" s="25">
        <v>1022.35</v>
      </c>
      <c r="BC18" s="14">
        <f t="shared" si="1"/>
        <v>53162.2</v>
      </c>
      <c r="BD18" s="15">
        <f>SUM(BC18/BC34)</f>
        <v>0.1264792325</v>
      </c>
      <c r="BE18" s="12">
        <f>SUM(BF35*BD18)</f>
        <v>53162.2</v>
      </c>
      <c r="BF18" s="16"/>
      <c r="BG18" s="8"/>
      <c r="BH18" s="11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>
      <c r="A19" s="9" t="s">
        <v>6</v>
      </c>
      <c r="B19" s="10" t="s">
        <v>23</v>
      </c>
      <c r="C19" s="11">
        <v>0.0</v>
      </c>
      <c r="D19" s="11">
        <v>786.44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1">
        <v>0.0</v>
      </c>
      <c r="AE19" s="11">
        <v>0.0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1020.62</v>
      </c>
      <c r="AQ19" s="11">
        <v>270.88</v>
      </c>
      <c r="AR19" s="11">
        <v>0.0</v>
      </c>
      <c r="AS19" s="11">
        <v>0.0</v>
      </c>
      <c r="AT19" s="11">
        <v>0.0</v>
      </c>
      <c r="AU19" s="11">
        <v>0.0</v>
      </c>
      <c r="AV19" s="11">
        <v>0.0</v>
      </c>
      <c r="AW19" s="11">
        <v>0.0</v>
      </c>
      <c r="AX19" s="11">
        <v>0.0</v>
      </c>
      <c r="AY19" s="11">
        <v>0.0</v>
      </c>
      <c r="AZ19" s="11">
        <v>0.0</v>
      </c>
      <c r="BA19" s="11">
        <v>0.0</v>
      </c>
      <c r="BB19" s="11">
        <v>0.0</v>
      </c>
      <c r="BC19" s="14">
        <f t="shared" si="1"/>
        <v>2077.94</v>
      </c>
      <c r="BD19" s="15">
        <f>SUM(BC19/BC34)</f>
        <v>0.0049436678</v>
      </c>
      <c r="BE19" s="12">
        <f>SUM(BF35*BD19)</f>
        <v>2077.94</v>
      </c>
      <c r="BF19" s="16"/>
      <c r="BG19" s="8"/>
      <c r="BH19" s="11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>
      <c r="A20" s="8" t="s">
        <v>8</v>
      </c>
      <c r="B20" s="10" t="s">
        <v>23</v>
      </c>
      <c r="C20" s="11">
        <v>0.0</v>
      </c>
      <c r="D20" s="11">
        <v>712.0</v>
      </c>
      <c r="E20" s="11">
        <v>607.52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1">
        <v>0.0</v>
      </c>
      <c r="AD20" s="11">
        <v>0.0</v>
      </c>
      <c r="AE20" s="11">
        <v>0.0</v>
      </c>
      <c r="AF20" s="11">
        <v>0.0</v>
      </c>
      <c r="AG20" s="11">
        <v>0.0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1">
        <v>0.0</v>
      </c>
      <c r="AN20" s="11">
        <v>0.0</v>
      </c>
      <c r="AO20" s="11">
        <v>0.0</v>
      </c>
      <c r="AP20" s="11">
        <v>0.0</v>
      </c>
      <c r="AQ20" s="11">
        <v>270.88</v>
      </c>
      <c r="AR20" s="11">
        <v>0.0</v>
      </c>
      <c r="AS20" s="11">
        <v>0.0</v>
      </c>
      <c r="AT20" s="11">
        <v>0.0</v>
      </c>
      <c r="AU20" s="11">
        <v>0.0</v>
      </c>
      <c r="AV20" s="11">
        <v>0.0</v>
      </c>
      <c r="AW20" s="11">
        <v>0.0</v>
      </c>
      <c r="AX20" s="11">
        <v>0.0</v>
      </c>
      <c r="AY20" s="11">
        <v>0.0</v>
      </c>
      <c r="AZ20" s="11">
        <v>0.0</v>
      </c>
      <c r="BA20" s="11">
        <v>0.0</v>
      </c>
      <c r="BB20" s="11">
        <v>0.0</v>
      </c>
      <c r="BC20" s="14">
        <f t="shared" si="1"/>
        <v>1590.4</v>
      </c>
      <c r="BD20" s="15">
        <f>SUM(BC20/BC34)</f>
        <v>0.0037837518</v>
      </c>
      <c r="BE20" s="12">
        <f>SUM(BF35*BD20)</f>
        <v>1590.4</v>
      </c>
      <c r="BF20" s="16"/>
      <c r="BG20" s="8"/>
      <c r="BH20" s="11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>
      <c r="A21" s="9" t="s">
        <v>12</v>
      </c>
      <c r="B21" s="10" t="s">
        <v>23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270.88</v>
      </c>
      <c r="AK21" s="11">
        <v>0.0</v>
      </c>
      <c r="AL21" s="11">
        <v>0.0</v>
      </c>
      <c r="AM21" s="11">
        <v>0.0</v>
      </c>
      <c r="AN21" s="11">
        <v>0.0</v>
      </c>
      <c r="AO21" s="11">
        <v>0.0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0.0</v>
      </c>
      <c r="AZ21" s="11">
        <v>0.0</v>
      </c>
      <c r="BA21" s="11">
        <v>0.0</v>
      </c>
      <c r="BB21" s="11">
        <v>0.0</v>
      </c>
      <c r="BC21" s="14">
        <f t="shared" si="1"/>
        <v>270.88</v>
      </c>
      <c r="BD21" s="15">
        <f>SUM(BC21/BC34)</f>
        <v>0.0006444559</v>
      </c>
      <c r="BE21" s="12">
        <f>SUM(BF35*BD21)</f>
        <v>270.88</v>
      </c>
      <c r="BF21" s="16"/>
      <c r="BG21" s="8"/>
      <c r="BH21" s="11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>
      <c r="A22" s="9" t="s">
        <v>6</v>
      </c>
      <c r="B22" s="10" t="s">
        <v>17</v>
      </c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0.0</v>
      </c>
      <c r="AW22" s="11">
        <v>0.0</v>
      </c>
      <c r="AX22" s="11">
        <v>576.18</v>
      </c>
      <c r="AY22" s="11">
        <v>140.25</v>
      </c>
      <c r="AZ22" s="11">
        <v>330.16</v>
      </c>
      <c r="BA22" s="11">
        <v>448.25</v>
      </c>
      <c r="BB22" s="11">
        <v>0.0</v>
      </c>
      <c r="BC22" s="14">
        <f t="shared" si="1"/>
        <v>1494.84</v>
      </c>
      <c r="BD22" s="15">
        <f>SUM(BC22/BC34)</f>
        <v>0.0035564032</v>
      </c>
      <c r="BE22" s="12">
        <f>SUM(BF35*BD22)</f>
        <v>1494.84</v>
      </c>
      <c r="BF22" s="16"/>
      <c r="BG22" s="8"/>
      <c r="BH22" s="11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>
      <c r="A23" s="8" t="s">
        <v>8</v>
      </c>
      <c r="B23" s="10" t="s">
        <v>17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1020.62</v>
      </c>
      <c r="AA23" s="11">
        <v>1020.62</v>
      </c>
      <c r="AB23" s="11">
        <v>1262.38</v>
      </c>
      <c r="AC23" s="11">
        <v>1262.38</v>
      </c>
      <c r="AD23" s="11">
        <v>1189.67</v>
      </c>
      <c r="AE23" s="11">
        <v>1020.62</v>
      </c>
      <c r="AF23" s="11">
        <v>1277.78</v>
      </c>
      <c r="AG23" s="11">
        <v>1308.72</v>
      </c>
      <c r="AH23" s="11">
        <v>1273.31</v>
      </c>
      <c r="AI23" s="11">
        <v>1189.67</v>
      </c>
      <c r="AJ23" s="11">
        <v>1230.12</v>
      </c>
      <c r="AK23" s="11">
        <v>1189.67</v>
      </c>
      <c r="AL23" s="11">
        <v>1288.09</v>
      </c>
      <c r="AM23" s="11">
        <v>1227.61</v>
      </c>
      <c r="AN23" s="28">
        <v>0.0</v>
      </c>
      <c r="AO23" s="28">
        <v>1189.67</v>
      </c>
      <c r="AP23" s="28">
        <v>1004.67</v>
      </c>
      <c r="AQ23" s="28">
        <v>1189.67</v>
      </c>
      <c r="AR23" s="28">
        <v>1189.67</v>
      </c>
      <c r="AS23" s="28">
        <v>1189.67</v>
      </c>
      <c r="AT23" s="28">
        <v>1275.65</v>
      </c>
      <c r="AU23" s="28">
        <v>1275.65</v>
      </c>
      <c r="AV23" s="28">
        <v>1275.65</v>
      </c>
      <c r="AW23" s="28">
        <v>1275.65</v>
      </c>
      <c r="AX23" s="28">
        <v>548.38</v>
      </c>
      <c r="AY23" s="28">
        <v>997.37</v>
      </c>
      <c r="AZ23" s="28">
        <v>997.37</v>
      </c>
      <c r="BA23" s="28">
        <v>860.06</v>
      </c>
      <c r="BB23" s="28">
        <v>1275.65</v>
      </c>
      <c r="BC23" s="14">
        <f t="shared" si="1"/>
        <v>32306.04</v>
      </c>
      <c r="BD23" s="15">
        <f>SUM(BC23/BC34)</f>
        <v>0.0768599333</v>
      </c>
      <c r="BE23" s="12">
        <f>SUM(BF35*BD23)</f>
        <v>32306.04</v>
      </c>
      <c r="BF23" s="16"/>
      <c r="BG23" s="8"/>
      <c r="BH23" s="11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>
      <c r="A24" s="9" t="s">
        <v>12</v>
      </c>
      <c r="B24" s="10" t="s">
        <v>17</v>
      </c>
      <c r="C24" s="11">
        <v>0.0</v>
      </c>
      <c r="D24" s="11">
        <v>0.0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1">
        <v>0.0</v>
      </c>
      <c r="AE24" s="11">
        <v>0.0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1">
        <v>0.0</v>
      </c>
      <c r="AN24" s="28">
        <v>0.0</v>
      </c>
      <c r="AO24" s="28">
        <v>0.0</v>
      </c>
      <c r="AP24" s="28">
        <v>0.0</v>
      </c>
      <c r="AQ24" s="28">
        <v>0.0</v>
      </c>
      <c r="AR24" s="28">
        <v>0.0</v>
      </c>
      <c r="AS24" s="28">
        <v>0.0</v>
      </c>
      <c r="AT24" s="28">
        <v>0.0</v>
      </c>
      <c r="AU24" s="28">
        <v>0.0</v>
      </c>
      <c r="AV24" s="28">
        <v>0.0</v>
      </c>
      <c r="AW24" s="28">
        <v>0.0</v>
      </c>
      <c r="AX24" s="28">
        <v>0.0</v>
      </c>
      <c r="AY24" s="28">
        <v>0.0</v>
      </c>
      <c r="AZ24" s="28">
        <v>0.0</v>
      </c>
      <c r="BA24" s="28">
        <v>0.0</v>
      </c>
      <c r="BB24" s="28">
        <v>0.0</v>
      </c>
      <c r="BC24" s="14">
        <f t="shared" si="1"/>
        <v>0.0</v>
      </c>
      <c r="BD24" s="15">
        <f>SUM(BC24/BC34)</f>
        <v>0.0</v>
      </c>
      <c r="BE24" s="12">
        <f>SUM(BF35*BD24)</f>
        <v>0.0</v>
      </c>
      <c r="BF24" s="16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>
      <c r="A25" s="9" t="s">
        <v>6</v>
      </c>
      <c r="B25" s="10" t="s">
        <v>22</v>
      </c>
      <c r="C25" s="11">
        <v>0.0</v>
      </c>
      <c r="D25" s="11">
        <v>0.0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1">
        <v>0.0</v>
      </c>
      <c r="AN25" s="11">
        <v>0.0</v>
      </c>
      <c r="AO25" s="11">
        <v>0.0</v>
      </c>
      <c r="AP25" s="11">
        <v>0.0</v>
      </c>
      <c r="AQ25" s="11">
        <v>0.0</v>
      </c>
      <c r="AR25" s="11">
        <v>0.0</v>
      </c>
      <c r="AS25" s="11">
        <v>0.0</v>
      </c>
      <c r="AT25" s="11">
        <v>0.0</v>
      </c>
      <c r="AU25" s="11">
        <v>0.0</v>
      </c>
      <c r="AV25" s="11">
        <v>0.0</v>
      </c>
      <c r="AW25" s="11">
        <v>0.0</v>
      </c>
      <c r="AX25" s="11">
        <v>0.0</v>
      </c>
      <c r="AY25" s="11">
        <v>0.0</v>
      </c>
      <c r="AZ25" s="11">
        <v>0.0</v>
      </c>
      <c r="BA25" s="11">
        <v>0.0</v>
      </c>
      <c r="BB25" s="11">
        <v>0.0</v>
      </c>
      <c r="BC25" s="14">
        <f t="shared" si="1"/>
        <v>0.0</v>
      </c>
      <c r="BD25" s="15">
        <f>SUM(BC25/BC34)</f>
        <v>0.0</v>
      </c>
      <c r="BE25" s="12">
        <f>SUM(BF35*BD25)</f>
        <v>0.0</v>
      </c>
      <c r="BF25" s="16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>
      <c r="A26" s="8" t="s">
        <v>8</v>
      </c>
      <c r="B26" s="10" t="s">
        <v>22</v>
      </c>
      <c r="C26" s="11">
        <v>0.0</v>
      </c>
      <c r="D26" s="11">
        <v>0.0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1">
        <v>0.0</v>
      </c>
      <c r="AN26" s="11">
        <v>0.0</v>
      </c>
      <c r="AO26" s="11">
        <v>0.0</v>
      </c>
      <c r="AP26" s="11">
        <v>0.0</v>
      </c>
      <c r="AQ26" s="11">
        <v>0.0</v>
      </c>
      <c r="AR26" s="11">
        <v>0.0</v>
      </c>
      <c r="AS26" s="11">
        <v>0.0</v>
      </c>
      <c r="AT26" s="11">
        <v>0.0</v>
      </c>
      <c r="AU26" s="11">
        <v>0.0</v>
      </c>
      <c r="AV26" s="11">
        <v>0.0</v>
      </c>
      <c r="AW26" s="11">
        <v>0.0</v>
      </c>
      <c r="AX26" s="11">
        <v>1032.44</v>
      </c>
      <c r="AY26" s="11">
        <v>1189.67</v>
      </c>
      <c r="AZ26" s="11">
        <v>1189.67</v>
      </c>
      <c r="BA26" s="11">
        <v>1134.99</v>
      </c>
      <c r="BB26" s="11">
        <v>1189.67</v>
      </c>
      <c r="BC26" s="14">
        <f t="shared" si="1"/>
        <v>5736.44</v>
      </c>
      <c r="BD26" s="15">
        <f>SUM(BC26/BC34)</f>
        <v>0.0136476769</v>
      </c>
      <c r="BE26" s="12">
        <f>SUM(BF35*BD26)</f>
        <v>5736.44</v>
      </c>
      <c r="BF26" s="16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>
      <c r="A27" s="9" t="s">
        <v>12</v>
      </c>
      <c r="B27" s="10" t="s">
        <v>22</v>
      </c>
      <c r="C27" s="11">
        <v>0.0</v>
      </c>
      <c r="D27" s="11">
        <v>0.0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1">
        <v>0.0</v>
      </c>
      <c r="R27" s="11">
        <v>0.0</v>
      </c>
      <c r="S27" s="11">
        <v>0.0</v>
      </c>
      <c r="T27" s="11">
        <v>0.0</v>
      </c>
      <c r="U27" s="11">
        <v>0.0</v>
      </c>
      <c r="V27" s="11">
        <v>0.0</v>
      </c>
      <c r="W27" s="11">
        <v>0.0</v>
      </c>
      <c r="X27" s="11">
        <v>0.0</v>
      </c>
      <c r="Y27" s="11">
        <v>0.0</v>
      </c>
      <c r="Z27" s="11">
        <v>0.0</v>
      </c>
      <c r="AA27" s="11">
        <v>0.0</v>
      </c>
      <c r="AB27" s="11">
        <v>0.0</v>
      </c>
      <c r="AC27" s="11">
        <v>0.0</v>
      </c>
      <c r="AD27" s="11">
        <v>0.0</v>
      </c>
      <c r="AE27" s="11">
        <v>0.0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0.0</v>
      </c>
      <c r="AW27" s="11">
        <v>0.0</v>
      </c>
      <c r="AX27" s="11">
        <v>0.0</v>
      </c>
      <c r="AY27" s="11">
        <v>0.0</v>
      </c>
      <c r="AZ27" s="11">
        <v>0.0</v>
      </c>
      <c r="BA27" s="11">
        <v>0.0</v>
      </c>
      <c r="BB27" s="11">
        <v>0.0</v>
      </c>
      <c r="BC27" s="14">
        <f t="shared" si="1"/>
        <v>0.0</v>
      </c>
      <c r="BD27" s="15">
        <f>SUM(BC27/BC34)</f>
        <v>0.0</v>
      </c>
      <c r="BE27" s="12">
        <f>SUM(BF35*BD27)</f>
        <v>0.0</v>
      </c>
      <c r="BF27" s="16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>
      <c r="A28" s="9" t="s">
        <v>6</v>
      </c>
      <c r="B28" s="10" t="s">
        <v>24</v>
      </c>
      <c r="C28" s="11">
        <v>0.0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1">
        <v>0.0</v>
      </c>
      <c r="AB28" s="11">
        <v>0.0</v>
      </c>
      <c r="AC28" s="11">
        <v>0.0</v>
      </c>
      <c r="AD28" s="11">
        <v>0.0</v>
      </c>
      <c r="AE28" s="11">
        <v>0.0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0.0</v>
      </c>
      <c r="AW28" s="11">
        <v>0.0</v>
      </c>
      <c r="AX28" s="11">
        <v>0.0</v>
      </c>
      <c r="AY28" s="11">
        <v>0.0</v>
      </c>
      <c r="AZ28" s="11">
        <v>0.0</v>
      </c>
      <c r="BA28" s="11">
        <v>0.0</v>
      </c>
      <c r="BB28" s="11">
        <v>0.0</v>
      </c>
      <c r="BC28" s="14">
        <f t="shared" si="1"/>
        <v>0.0</v>
      </c>
      <c r="BD28" s="15">
        <f>SUM(BC28/BC34)</f>
        <v>0.0</v>
      </c>
      <c r="BE28" s="12">
        <f>SUM(BF35*BD28)</f>
        <v>0.0</v>
      </c>
      <c r="BF28" s="16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>
      <c r="A29" s="8" t="s">
        <v>8</v>
      </c>
      <c r="B29" s="10" t="s">
        <v>24</v>
      </c>
      <c r="C29" s="11">
        <v>0.0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0.0</v>
      </c>
      <c r="AD29" s="11">
        <v>0.0</v>
      </c>
      <c r="AE29" s="11">
        <v>0.0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0.0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v>0.0</v>
      </c>
      <c r="AS29" s="11">
        <v>0.0</v>
      </c>
      <c r="AT29" s="11">
        <v>0.0</v>
      </c>
      <c r="AU29" s="11">
        <v>0.0</v>
      </c>
      <c r="AV29" s="11">
        <v>0.0</v>
      </c>
      <c r="AW29" s="11">
        <v>0.0</v>
      </c>
      <c r="AX29" s="11">
        <v>1032.44</v>
      </c>
      <c r="AY29" s="11">
        <v>1189.67</v>
      </c>
      <c r="AZ29" s="11">
        <v>1189.67</v>
      </c>
      <c r="BA29" s="11">
        <v>1134.99</v>
      </c>
      <c r="BB29" s="11">
        <v>1189.67</v>
      </c>
      <c r="BC29" s="14">
        <f t="shared" si="1"/>
        <v>5736.44</v>
      </c>
      <c r="BD29" s="15">
        <f>SUM(BC29/BC34)</f>
        <v>0.0136476769</v>
      </c>
      <c r="BE29" s="12">
        <f>SUM(BF35*BD29)</f>
        <v>5736.44</v>
      </c>
      <c r="BF29" s="16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>
      <c r="A30" s="9" t="s">
        <v>12</v>
      </c>
      <c r="B30" s="10" t="s">
        <v>24</v>
      </c>
      <c r="C30" s="11">
        <v>0.0</v>
      </c>
      <c r="D30" s="11">
        <v>0.0</v>
      </c>
      <c r="E30" s="11">
        <v>0.0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1">
        <v>0.0</v>
      </c>
      <c r="AN30" s="11">
        <v>0.0</v>
      </c>
      <c r="AO30" s="11">
        <v>0.0</v>
      </c>
      <c r="AP30" s="11">
        <v>0.0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11">
        <v>0.0</v>
      </c>
      <c r="AX30" s="11">
        <v>0.0</v>
      </c>
      <c r="AY30" s="11">
        <v>0.0</v>
      </c>
      <c r="AZ30" s="11">
        <v>0.0</v>
      </c>
      <c r="BA30" s="11">
        <v>0.0</v>
      </c>
      <c r="BB30" s="11">
        <v>0.0</v>
      </c>
      <c r="BC30" s="14">
        <f t="shared" si="1"/>
        <v>0.0</v>
      </c>
      <c r="BD30" s="15">
        <f>SUM(BC30/BC34)</f>
        <v>0.0</v>
      </c>
      <c r="BE30" s="12">
        <f>SUM(BF35*BD30)</f>
        <v>0.0</v>
      </c>
      <c r="BF30" s="16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>
      <c r="A31" s="9" t="s">
        <v>6</v>
      </c>
      <c r="B31" s="10" t="s">
        <v>18</v>
      </c>
      <c r="C31" s="11">
        <v>0.0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0.0</v>
      </c>
      <c r="AO31" s="11">
        <v>0.0</v>
      </c>
      <c r="AP31" s="11">
        <v>0.0</v>
      </c>
      <c r="AQ31" s="11">
        <v>0.0</v>
      </c>
      <c r="AR31" s="11">
        <v>0.0</v>
      </c>
      <c r="AS31" s="11">
        <v>0.0</v>
      </c>
      <c r="AT31" s="11">
        <v>0.0</v>
      </c>
      <c r="AU31" s="11">
        <v>0.0</v>
      </c>
      <c r="AV31" s="11">
        <v>0.0</v>
      </c>
      <c r="AW31" s="11">
        <v>0.0</v>
      </c>
      <c r="AX31" s="11">
        <v>0.0</v>
      </c>
      <c r="AY31" s="11">
        <v>0.0</v>
      </c>
      <c r="AZ31" s="11">
        <v>0.0</v>
      </c>
      <c r="BA31" s="11">
        <v>0.0</v>
      </c>
      <c r="BB31" s="11">
        <v>0.0</v>
      </c>
      <c r="BC31" s="14">
        <f t="shared" si="1"/>
        <v>0.0</v>
      </c>
      <c r="BD31" s="15">
        <f>SUM(BC31/BC34)</f>
        <v>0.0</v>
      </c>
      <c r="BE31" s="12">
        <f>SUM(BF35*BD31)</f>
        <v>0.0</v>
      </c>
      <c r="BF31" s="16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>
      <c r="A32" s="8" t="s">
        <v>8</v>
      </c>
      <c r="B32" s="10" t="s">
        <v>18</v>
      </c>
      <c r="C32" s="11">
        <v>0.0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1">
        <v>0.0</v>
      </c>
      <c r="U32" s="11">
        <v>0.0</v>
      </c>
      <c r="V32" s="11">
        <v>0.0</v>
      </c>
      <c r="W32" s="11">
        <v>0.0</v>
      </c>
      <c r="X32" s="11">
        <v>0.0</v>
      </c>
      <c r="Y32" s="11">
        <v>0.0</v>
      </c>
      <c r="Z32" s="11">
        <v>0.0</v>
      </c>
      <c r="AA32" s="11">
        <v>1189.67</v>
      </c>
      <c r="AB32" s="11">
        <v>1047.31</v>
      </c>
      <c r="AC32" s="11">
        <v>1627.33</v>
      </c>
      <c r="AD32" s="11">
        <v>1189.67</v>
      </c>
      <c r="AE32" s="11">
        <v>1787.29</v>
      </c>
      <c r="AF32" s="11">
        <v>1153.18</v>
      </c>
      <c r="AG32" s="11">
        <v>1051.64</v>
      </c>
      <c r="AH32" s="11">
        <v>1189.67</v>
      </c>
      <c r="AI32" s="11">
        <v>0.0</v>
      </c>
      <c r="AJ32" s="11">
        <v>1189.67</v>
      </c>
      <c r="AK32" s="11">
        <v>828.4</v>
      </c>
      <c r="AL32" s="11">
        <v>1021.64</v>
      </c>
      <c r="AM32" s="11">
        <v>0.0</v>
      </c>
      <c r="AN32" s="11">
        <v>0.0</v>
      </c>
      <c r="AO32" s="11">
        <v>0.0</v>
      </c>
      <c r="AP32" s="11">
        <v>0.0</v>
      </c>
      <c r="AQ32" s="11">
        <v>0.0</v>
      </c>
      <c r="AR32" s="11">
        <v>0.0</v>
      </c>
      <c r="AS32" s="11">
        <v>0.0</v>
      </c>
      <c r="AT32" s="11">
        <v>0.0</v>
      </c>
      <c r="AU32" s="11">
        <v>0.0</v>
      </c>
      <c r="AV32" s="11">
        <v>0.0</v>
      </c>
      <c r="AW32" s="11">
        <v>0.0</v>
      </c>
      <c r="AX32" s="11">
        <v>0.0</v>
      </c>
      <c r="AY32" s="11">
        <v>0.0</v>
      </c>
      <c r="AZ32" s="11">
        <v>0.0</v>
      </c>
      <c r="BA32" s="11">
        <v>0.0</v>
      </c>
      <c r="BB32" s="11">
        <v>0.0</v>
      </c>
      <c r="BC32" s="14">
        <f t="shared" si="1"/>
        <v>13275.47</v>
      </c>
      <c r="BD32" s="15">
        <f>SUM(BC32/BC34)</f>
        <v>0.031583931</v>
      </c>
      <c r="BE32" s="12">
        <f>SUM(BF35*BD32)</f>
        <v>13275.47</v>
      </c>
      <c r="BF32" s="16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>
      <c r="A33" s="9" t="s">
        <v>12</v>
      </c>
      <c r="B33" s="10" t="s">
        <v>18</v>
      </c>
      <c r="C33" s="11">
        <v>0.0</v>
      </c>
      <c r="D33" s="11">
        <v>0.0</v>
      </c>
      <c r="E33" s="11">
        <v>0.0</v>
      </c>
      <c r="F33" s="11">
        <v>0.0</v>
      </c>
      <c r="G33" s="11">
        <v>0.0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1">
        <v>0.0</v>
      </c>
      <c r="Q33" s="11">
        <v>0.0</v>
      </c>
      <c r="R33" s="11">
        <v>0.0</v>
      </c>
      <c r="S33" s="11">
        <v>0.0</v>
      </c>
      <c r="T33" s="11">
        <v>0.0</v>
      </c>
      <c r="U33" s="11">
        <v>0.0</v>
      </c>
      <c r="V33" s="11">
        <v>0.0</v>
      </c>
      <c r="W33" s="11">
        <v>0.0</v>
      </c>
      <c r="X33" s="11">
        <v>0.0</v>
      </c>
      <c r="Y33" s="11">
        <v>0.0</v>
      </c>
      <c r="Z33" s="11">
        <v>0.0</v>
      </c>
      <c r="AA33" s="11">
        <v>0.0</v>
      </c>
      <c r="AB33" s="11">
        <v>0.0</v>
      </c>
      <c r="AC33" s="11">
        <v>0.0</v>
      </c>
      <c r="AD33" s="11">
        <v>0.0</v>
      </c>
      <c r="AE33" s="11">
        <v>0.0</v>
      </c>
      <c r="AF33" s="11">
        <v>0.0</v>
      </c>
      <c r="AG33" s="11">
        <v>0.0</v>
      </c>
      <c r="AH33" s="11">
        <v>0.0</v>
      </c>
      <c r="AI33" s="11">
        <v>0.0</v>
      </c>
      <c r="AJ33" s="11">
        <v>0.0</v>
      </c>
      <c r="AK33" s="11">
        <v>0.0</v>
      </c>
      <c r="AL33" s="11">
        <v>0.0</v>
      </c>
      <c r="AM33" s="11">
        <v>0.0</v>
      </c>
      <c r="AN33" s="11">
        <v>0.0</v>
      </c>
      <c r="AO33" s="11">
        <v>0.0</v>
      </c>
      <c r="AP33" s="11">
        <v>0.0</v>
      </c>
      <c r="AQ33" s="11">
        <v>0.0</v>
      </c>
      <c r="AR33" s="11">
        <v>0.0</v>
      </c>
      <c r="AS33" s="11">
        <v>0.0</v>
      </c>
      <c r="AT33" s="11">
        <v>0.0</v>
      </c>
      <c r="AU33" s="11">
        <v>0.0</v>
      </c>
      <c r="AV33" s="11">
        <v>0.0</v>
      </c>
      <c r="AW33" s="11">
        <v>0.0</v>
      </c>
      <c r="AX33" s="11">
        <v>0.0</v>
      </c>
      <c r="AY33" s="11">
        <v>0.0</v>
      </c>
      <c r="AZ33" s="11">
        <v>0.0</v>
      </c>
      <c r="BA33" s="11">
        <v>0.0</v>
      </c>
      <c r="BB33" s="11">
        <v>0.0</v>
      </c>
      <c r="BC33" s="14">
        <f t="shared" si="1"/>
        <v>0.0</v>
      </c>
      <c r="BD33" s="15">
        <f>SUM(BC33/BC34)</f>
        <v>0.0</v>
      </c>
      <c r="BE33" s="12">
        <f>SUM(BF35*BD33)</f>
        <v>0.0</v>
      </c>
      <c r="BF33" s="16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>
      <c r="A34" s="6" t="s">
        <v>29</v>
      </c>
      <c r="B34" s="26"/>
      <c r="C34" s="14">
        <f t="shared" ref="C34:Z34" si="2">SUM(C2:C24)</f>
        <v>7800.87</v>
      </c>
      <c r="D34" s="14">
        <f t="shared" si="2"/>
        <v>9785.05</v>
      </c>
      <c r="E34" s="14">
        <f t="shared" si="2"/>
        <v>8145.67</v>
      </c>
      <c r="F34" s="14">
        <f t="shared" si="2"/>
        <v>7345.74</v>
      </c>
      <c r="G34" s="14">
        <f t="shared" si="2"/>
        <v>7887.9</v>
      </c>
      <c r="H34" s="14">
        <f t="shared" si="2"/>
        <v>8374.04</v>
      </c>
      <c r="I34" s="14">
        <f t="shared" si="2"/>
        <v>8232.31</v>
      </c>
      <c r="J34" s="14">
        <f t="shared" si="2"/>
        <v>9325.42</v>
      </c>
      <c r="K34" s="14">
        <f t="shared" si="2"/>
        <v>13559.58</v>
      </c>
      <c r="L34" s="14">
        <f t="shared" si="2"/>
        <v>8374.04</v>
      </c>
      <c r="M34" s="14">
        <f t="shared" si="2"/>
        <v>8374.04</v>
      </c>
      <c r="N34" s="14">
        <f t="shared" si="2"/>
        <v>7550.55</v>
      </c>
      <c r="O34" s="14">
        <f t="shared" si="2"/>
        <v>6500.21</v>
      </c>
      <c r="P34" s="14">
        <f t="shared" si="2"/>
        <v>7840.24</v>
      </c>
      <c r="Q34" s="14">
        <f t="shared" si="2"/>
        <v>8057.87</v>
      </c>
      <c r="R34" s="14">
        <f t="shared" si="2"/>
        <v>8143.39</v>
      </c>
      <c r="S34" s="14">
        <f t="shared" si="2"/>
        <v>8186.16</v>
      </c>
      <c r="T34" s="14">
        <f t="shared" si="2"/>
        <v>5305.06</v>
      </c>
      <c r="U34" s="14">
        <f t="shared" si="2"/>
        <v>7455.87</v>
      </c>
      <c r="V34" s="14">
        <f t="shared" si="2"/>
        <v>7151.74</v>
      </c>
      <c r="W34" s="14">
        <f t="shared" si="2"/>
        <v>6595.67</v>
      </c>
      <c r="X34" s="14">
        <f t="shared" si="2"/>
        <v>7073.84</v>
      </c>
      <c r="Y34" s="14">
        <f t="shared" si="2"/>
        <v>7530.97</v>
      </c>
      <c r="Z34" s="14">
        <f t="shared" si="2"/>
        <v>7665.14</v>
      </c>
      <c r="AA34" s="14">
        <f t="shared" ref="AA34:BE34" si="3">SUM(AA2:AA33)</f>
        <v>8904.32</v>
      </c>
      <c r="AB34" s="14">
        <f t="shared" si="3"/>
        <v>9352.62</v>
      </c>
      <c r="AC34" s="14">
        <f t="shared" si="3"/>
        <v>10267.12</v>
      </c>
      <c r="AD34" s="14">
        <f t="shared" si="3"/>
        <v>8882.62</v>
      </c>
      <c r="AE34" s="14">
        <f t="shared" si="3"/>
        <v>10362.2</v>
      </c>
      <c r="AF34" s="14">
        <f t="shared" si="3"/>
        <v>9577.47</v>
      </c>
      <c r="AG34" s="14">
        <f t="shared" si="3"/>
        <v>9331.12</v>
      </c>
      <c r="AH34" s="14">
        <f t="shared" si="3"/>
        <v>9573.42</v>
      </c>
      <c r="AI34" s="14">
        <f t="shared" si="3"/>
        <v>7686.61</v>
      </c>
      <c r="AJ34" s="14">
        <f t="shared" si="3"/>
        <v>8457.95</v>
      </c>
      <c r="AK34" s="14">
        <f t="shared" si="3"/>
        <v>7785.35</v>
      </c>
      <c r="AL34" s="14">
        <f t="shared" si="3"/>
        <v>6721.08</v>
      </c>
      <c r="AM34" s="14">
        <f t="shared" si="3"/>
        <v>7085.73</v>
      </c>
      <c r="AN34" s="14">
        <f t="shared" si="3"/>
        <v>5767.28</v>
      </c>
      <c r="AO34" s="14">
        <f t="shared" si="3"/>
        <v>6624.99</v>
      </c>
      <c r="AP34" s="14">
        <f t="shared" si="3"/>
        <v>7792.57</v>
      </c>
      <c r="AQ34" s="14">
        <f t="shared" si="3"/>
        <v>7077.57</v>
      </c>
      <c r="AR34" s="14">
        <f t="shared" si="3"/>
        <v>6956.95</v>
      </c>
      <c r="AS34" s="14">
        <f t="shared" si="3"/>
        <v>6956.95</v>
      </c>
      <c r="AT34" s="14">
        <f t="shared" si="3"/>
        <v>7128.91</v>
      </c>
      <c r="AU34" s="14">
        <f t="shared" si="3"/>
        <v>6862.42</v>
      </c>
      <c r="AV34" s="14">
        <f t="shared" si="3"/>
        <v>7041.49</v>
      </c>
      <c r="AW34" s="14">
        <f t="shared" si="3"/>
        <v>5850.08</v>
      </c>
      <c r="AX34" s="14">
        <f t="shared" si="3"/>
        <v>8772.66</v>
      </c>
      <c r="AY34" s="14">
        <f t="shared" si="3"/>
        <v>9094.93</v>
      </c>
      <c r="AZ34" s="14">
        <f t="shared" si="3"/>
        <v>9350.89</v>
      </c>
      <c r="BA34" s="14">
        <f t="shared" si="3"/>
        <v>9277.48</v>
      </c>
      <c r="BB34" s="14">
        <f t="shared" si="3"/>
        <v>9519.4</v>
      </c>
      <c r="BC34" s="14">
        <f t="shared" si="3"/>
        <v>420323.55</v>
      </c>
      <c r="BD34" s="29">
        <f t="shared" si="3"/>
        <v>1.0</v>
      </c>
      <c r="BE34" s="30">
        <f t="shared" si="3"/>
        <v>420323.55</v>
      </c>
      <c r="BF34" s="7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</row>
    <row r="35">
      <c r="A35" s="16"/>
      <c r="B35" s="32"/>
      <c r="C35" s="33"/>
      <c r="D35" s="3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35"/>
      <c r="AO35" s="35"/>
      <c r="AP35" s="35"/>
      <c r="AQ35" s="35"/>
      <c r="AR35" s="36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7"/>
      <c r="BD35" s="16"/>
      <c r="BE35" s="37" t="s">
        <v>30</v>
      </c>
      <c r="BF35" s="38">
        <f>BC34</f>
        <v>420323.55</v>
      </c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>
      <c r="A36" s="8"/>
      <c r="B36" s="39"/>
      <c r="C36" s="40"/>
      <c r="D36" s="41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1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>
      <c r="A37" s="42" t="s">
        <v>27</v>
      </c>
      <c r="B37" s="43"/>
      <c r="C37" s="44">
        <f t="shared" ref="C37:AR37" si="4">C1</f>
        <v>45632.0</v>
      </c>
      <c r="D37" s="44">
        <f t="shared" si="4"/>
        <v>45639.0</v>
      </c>
      <c r="E37" s="44">
        <f t="shared" si="4"/>
        <v>45646.0</v>
      </c>
      <c r="F37" s="44">
        <f t="shared" si="4"/>
        <v>45653.0</v>
      </c>
      <c r="G37" s="44">
        <f t="shared" si="4"/>
        <v>45660.0</v>
      </c>
      <c r="H37" s="44">
        <f t="shared" si="4"/>
        <v>45667.0</v>
      </c>
      <c r="I37" s="44">
        <f t="shared" si="4"/>
        <v>45674.0</v>
      </c>
      <c r="J37" s="44">
        <f t="shared" si="4"/>
        <v>45681.0</v>
      </c>
      <c r="K37" s="44">
        <f t="shared" si="4"/>
        <v>45688.0</v>
      </c>
      <c r="L37" s="44">
        <f t="shared" si="4"/>
        <v>45695.0</v>
      </c>
      <c r="M37" s="44">
        <f t="shared" si="4"/>
        <v>45702.0</v>
      </c>
      <c r="N37" s="44">
        <f t="shared" si="4"/>
        <v>45709.0</v>
      </c>
      <c r="O37" s="44">
        <f t="shared" si="4"/>
        <v>45716.0</v>
      </c>
      <c r="P37" s="44">
        <f t="shared" si="4"/>
        <v>45723.0</v>
      </c>
      <c r="Q37" s="44">
        <f t="shared" si="4"/>
        <v>45730.0</v>
      </c>
      <c r="R37" s="44">
        <f t="shared" si="4"/>
        <v>45737.0</v>
      </c>
      <c r="S37" s="44">
        <f t="shared" si="4"/>
        <v>45744.0</v>
      </c>
      <c r="T37" s="44">
        <f t="shared" si="4"/>
        <v>45751.0</v>
      </c>
      <c r="U37" s="44">
        <f t="shared" si="4"/>
        <v>45758.0</v>
      </c>
      <c r="V37" s="44">
        <f t="shared" si="4"/>
        <v>45765.0</v>
      </c>
      <c r="W37" s="44">
        <f t="shared" si="4"/>
        <v>45772.0</v>
      </c>
      <c r="X37" s="44">
        <f t="shared" si="4"/>
        <v>45779.0</v>
      </c>
      <c r="Y37" s="44">
        <f t="shared" si="4"/>
        <v>45786.0</v>
      </c>
      <c r="Z37" s="44">
        <f t="shared" si="4"/>
        <v>45793.0</v>
      </c>
      <c r="AA37" s="44">
        <f t="shared" si="4"/>
        <v>45800.0</v>
      </c>
      <c r="AB37" s="44">
        <f t="shared" si="4"/>
        <v>45807.0</v>
      </c>
      <c r="AC37" s="44">
        <f t="shared" si="4"/>
        <v>45814.0</v>
      </c>
      <c r="AD37" s="44">
        <f t="shared" si="4"/>
        <v>45821.0</v>
      </c>
      <c r="AE37" s="44">
        <f t="shared" si="4"/>
        <v>45828.0</v>
      </c>
      <c r="AF37" s="44">
        <f t="shared" si="4"/>
        <v>45835.0</v>
      </c>
      <c r="AG37" s="44">
        <f t="shared" si="4"/>
        <v>45842.0</v>
      </c>
      <c r="AH37" s="44">
        <f t="shared" si="4"/>
        <v>45849.0</v>
      </c>
      <c r="AI37" s="44">
        <f t="shared" si="4"/>
        <v>45856.0</v>
      </c>
      <c r="AJ37" s="44">
        <f t="shared" si="4"/>
        <v>45863.0</v>
      </c>
      <c r="AK37" s="44">
        <f t="shared" si="4"/>
        <v>45870.0</v>
      </c>
      <c r="AL37" s="44">
        <f t="shared" si="4"/>
        <v>45877.0</v>
      </c>
      <c r="AM37" s="44">
        <f t="shared" si="4"/>
        <v>45884.0</v>
      </c>
      <c r="AN37" s="45">
        <f t="shared" si="4"/>
        <v>45891.0</v>
      </c>
      <c r="AO37" s="45">
        <f t="shared" si="4"/>
        <v>45898.0</v>
      </c>
      <c r="AP37" s="45">
        <f t="shared" si="4"/>
        <v>45905.0</v>
      </c>
      <c r="AQ37" s="45">
        <f t="shared" si="4"/>
        <v>45912.0</v>
      </c>
      <c r="AR37" s="45">
        <f t="shared" si="4"/>
        <v>45919.0</v>
      </c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4" t="s">
        <v>2</v>
      </c>
      <c r="BD37" s="44"/>
      <c r="BE37" s="44"/>
      <c r="BF37" s="46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</row>
    <row r="38">
      <c r="A38" s="9" t="s">
        <v>6</v>
      </c>
      <c r="B38" s="48"/>
      <c r="C38" s="49">
        <v>0.0</v>
      </c>
      <c r="D38" s="50">
        <v>102.12</v>
      </c>
      <c r="E38" s="50">
        <v>0.0</v>
      </c>
      <c r="F38" s="49">
        <v>0.0</v>
      </c>
      <c r="G38" s="50">
        <v>0.0</v>
      </c>
      <c r="H38" s="49">
        <v>0.0</v>
      </c>
      <c r="I38" s="49">
        <v>91.05</v>
      </c>
      <c r="J38" s="50">
        <v>76.51</v>
      </c>
      <c r="K38" s="50">
        <v>186.43</v>
      </c>
      <c r="L38" s="50">
        <v>0.0</v>
      </c>
      <c r="M38" s="49">
        <v>0.0</v>
      </c>
      <c r="N38" s="49">
        <v>0.0</v>
      </c>
      <c r="O38" s="13">
        <v>0.0</v>
      </c>
      <c r="P38" s="13"/>
      <c r="Q38" s="13"/>
      <c r="R38" s="13">
        <v>22.59</v>
      </c>
      <c r="S38" s="13">
        <v>123.96</v>
      </c>
      <c r="T38" s="13">
        <v>0.0</v>
      </c>
      <c r="U38" s="13">
        <v>0.0</v>
      </c>
      <c r="V38" s="13">
        <v>0.0</v>
      </c>
      <c r="W38" s="13">
        <v>0.0</v>
      </c>
      <c r="X38" s="13">
        <v>0.0</v>
      </c>
      <c r="Y38" s="13">
        <v>155.62</v>
      </c>
      <c r="Z38" s="13">
        <v>0.0</v>
      </c>
      <c r="AA38" s="13">
        <v>0.0</v>
      </c>
      <c r="AB38" s="13">
        <v>0.0</v>
      </c>
      <c r="AC38" s="13">
        <v>12.97</v>
      </c>
      <c r="AD38" s="13">
        <v>0.0</v>
      </c>
      <c r="AE38" s="13">
        <v>0.0</v>
      </c>
      <c r="AF38" s="13">
        <v>33.84</v>
      </c>
      <c r="AG38" s="13">
        <v>0.0</v>
      </c>
      <c r="AH38" s="13">
        <v>0.0</v>
      </c>
      <c r="AI38" s="13">
        <v>0.0</v>
      </c>
      <c r="AJ38" s="13">
        <v>0.0</v>
      </c>
      <c r="AK38" s="13">
        <v>0.0</v>
      </c>
      <c r="AL38" s="13">
        <v>9.83</v>
      </c>
      <c r="AM38" s="13">
        <v>0.0</v>
      </c>
      <c r="AN38" s="51">
        <v>0.0</v>
      </c>
      <c r="AO38" s="51">
        <v>0.0</v>
      </c>
      <c r="AP38" s="51">
        <v>151.72</v>
      </c>
      <c r="AQ38" s="51">
        <v>41.66</v>
      </c>
      <c r="AR38" s="51">
        <v>0.0</v>
      </c>
      <c r="AS38" s="51">
        <v>0.0</v>
      </c>
      <c r="AT38" s="51">
        <v>0.0</v>
      </c>
      <c r="AU38" s="51">
        <v>0.0</v>
      </c>
      <c r="AV38" s="51">
        <v>0.0</v>
      </c>
      <c r="AW38" s="51">
        <v>0.0</v>
      </c>
      <c r="AX38" s="51">
        <v>90.18</v>
      </c>
      <c r="AY38" s="51">
        <v>20.63</v>
      </c>
      <c r="AZ38" s="51">
        <v>40.59</v>
      </c>
      <c r="BA38" s="51">
        <v>41.42</v>
      </c>
      <c r="BB38" s="51">
        <v>0.0</v>
      </c>
      <c r="BC38" s="52">
        <f t="shared" ref="BC38:BC43" si="5">SUM(C38:BB38)</f>
        <v>1201.12</v>
      </c>
      <c r="BD38" s="15"/>
      <c r="BE38" s="12"/>
      <c r="BF38" s="16"/>
      <c r="BG38" s="40">
        <f>BF35+BC55+BC64+BC71+BC80</f>
        <v>425717.05</v>
      </c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>
      <c r="A39" s="9" t="s">
        <v>28</v>
      </c>
      <c r="B39" s="48"/>
      <c r="C39" s="53">
        <v>218.88</v>
      </c>
      <c r="D39" s="54">
        <v>218.46</v>
      </c>
      <c r="E39" s="54">
        <v>243.86</v>
      </c>
      <c r="F39" s="53">
        <v>211.66</v>
      </c>
      <c r="G39" s="54">
        <v>270.88</v>
      </c>
      <c r="H39" s="53">
        <v>270.88</v>
      </c>
      <c r="I39" s="54">
        <v>169.66</v>
      </c>
      <c r="J39" s="54">
        <v>116.0</v>
      </c>
      <c r="K39" s="54">
        <v>82.77</v>
      </c>
      <c r="L39" s="54">
        <v>270.88</v>
      </c>
      <c r="M39" s="53">
        <v>270.88</v>
      </c>
      <c r="N39" s="53">
        <v>232.36</v>
      </c>
      <c r="O39" s="9">
        <v>139.19</v>
      </c>
      <c r="P39" s="9">
        <v>217.16</v>
      </c>
      <c r="Q39" s="9">
        <v>205.94</v>
      </c>
      <c r="R39" s="9">
        <v>180.63</v>
      </c>
      <c r="S39" s="9">
        <v>121.42</v>
      </c>
      <c r="T39" s="9">
        <v>131.66</v>
      </c>
      <c r="U39" s="9">
        <v>215.4</v>
      </c>
      <c r="V39" s="9">
        <v>161.06</v>
      </c>
      <c r="W39" s="9">
        <v>164.24</v>
      </c>
      <c r="X39" s="9">
        <v>150.35</v>
      </c>
      <c r="Y39" s="9">
        <v>18.36</v>
      </c>
      <c r="Z39" s="9">
        <v>264.43</v>
      </c>
      <c r="AA39" s="9">
        <v>289.57</v>
      </c>
      <c r="AB39" s="9">
        <v>263.94</v>
      </c>
      <c r="AC39" s="9">
        <v>346.19</v>
      </c>
      <c r="AD39" s="9">
        <v>243.01</v>
      </c>
      <c r="AE39" s="9">
        <v>278.72</v>
      </c>
      <c r="AF39" s="9">
        <v>284.65</v>
      </c>
      <c r="AG39" s="9">
        <v>302.38</v>
      </c>
      <c r="AH39" s="9">
        <v>309.74</v>
      </c>
      <c r="AI39" s="9">
        <v>215.47</v>
      </c>
      <c r="AJ39" s="9">
        <v>210.88</v>
      </c>
      <c r="AK39" s="9">
        <v>206.5</v>
      </c>
      <c r="AL39" s="9">
        <v>204.68</v>
      </c>
      <c r="AM39" s="13">
        <v>155.24</v>
      </c>
      <c r="AN39" s="51">
        <v>131.66</v>
      </c>
      <c r="AO39" s="51">
        <v>148.58</v>
      </c>
      <c r="AP39" s="51">
        <v>67.51</v>
      </c>
      <c r="AQ39" s="51">
        <v>161.25</v>
      </c>
      <c r="AR39" s="51">
        <v>201.84</v>
      </c>
      <c r="AS39" s="51">
        <v>201.84</v>
      </c>
      <c r="AT39" s="51">
        <v>201.84</v>
      </c>
      <c r="AU39" s="51">
        <v>201.84</v>
      </c>
      <c r="AV39" s="51">
        <v>186.21</v>
      </c>
      <c r="AW39" s="51">
        <v>201.84</v>
      </c>
      <c r="AX39" s="51">
        <v>169.2</v>
      </c>
      <c r="AY39" s="51">
        <v>245.39</v>
      </c>
      <c r="AZ39" s="51">
        <v>242.07</v>
      </c>
      <c r="BA39" s="51">
        <v>254.38</v>
      </c>
      <c r="BB39" s="51">
        <v>307.96</v>
      </c>
      <c r="BC39" s="52">
        <f t="shared" si="5"/>
        <v>10781.39</v>
      </c>
      <c r="BD39" s="15"/>
      <c r="BE39" s="55"/>
      <c r="BF39" s="16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>
      <c r="A40" s="9" t="s">
        <v>13</v>
      </c>
      <c r="B40" s="48"/>
      <c r="C40" s="53">
        <v>50.52</v>
      </c>
      <c r="D40" s="54">
        <v>50.52</v>
      </c>
      <c r="E40" s="54">
        <v>50.52</v>
      </c>
      <c r="F40" s="53">
        <v>50.52</v>
      </c>
      <c r="G40" s="54">
        <v>50.52</v>
      </c>
      <c r="H40" s="53">
        <v>50.52</v>
      </c>
      <c r="I40" s="53">
        <v>50.52</v>
      </c>
      <c r="J40" s="54">
        <v>50.52</v>
      </c>
      <c r="K40" s="54">
        <v>50.52</v>
      </c>
      <c r="L40" s="54">
        <v>50.52</v>
      </c>
      <c r="M40" s="53">
        <v>50.52</v>
      </c>
      <c r="N40" s="53">
        <v>50.52</v>
      </c>
      <c r="O40" s="9">
        <v>50.52</v>
      </c>
      <c r="P40" s="9">
        <v>50.52</v>
      </c>
      <c r="Q40" s="9">
        <v>50.52</v>
      </c>
      <c r="R40" s="9">
        <v>50.52</v>
      </c>
      <c r="S40" s="9">
        <v>50.52</v>
      </c>
      <c r="T40" s="9">
        <v>50.52</v>
      </c>
      <c r="U40" s="9">
        <v>50.52</v>
      </c>
      <c r="V40" s="13">
        <v>50.52</v>
      </c>
      <c r="W40" s="13">
        <v>50.52</v>
      </c>
      <c r="X40" s="13">
        <v>50.52</v>
      </c>
      <c r="Y40" s="13">
        <v>50.52</v>
      </c>
      <c r="Z40" s="13">
        <v>50.52</v>
      </c>
      <c r="AA40" s="13">
        <v>50.52</v>
      </c>
      <c r="AB40" s="13">
        <v>50.52</v>
      </c>
      <c r="AC40" s="13">
        <v>50.52</v>
      </c>
      <c r="AD40" s="13">
        <v>50.52</v>
      </c>
      <c r="AE40" s="13">
        <v>50.52</v>
      </c>
      <c r="AF40" s="13">
        <v>50.52</v>
      </c>
      <c r="AG40" s="13">
        <v>50.52</v>
      </c>
      <c r="AH40" s="13">
        <v>50.52</v>
      </c>
      <c r="AI40" s="13">
        <v>50.52</v>
      </c>
      <c r="AJ40" s="13">
        <v>50.52</v>
      </c>
      <c r="AK40" s="13">
        <v>50.52</v>
      </c>
      <c r="AL40" s="13">
        <v>50.52</v>
      </c>
      <c r="AM40" s="13">
        <v>50.52</v>
      </c>
      <c r="AN40" s="56">
        <v>50.52</v>
      </c>
      <c r="AO40" s="56">
        <v>50.52</v>
      </c>
      <c r="AP40" s="56">
        <v>50.52</v>
      </c>
      <c r="AQ40" s="56">
        <v>50.52</v>
      </c>
      <c r="AR40" s="56">
        <v>50.52</v>
      </c>
      <c r="AS40" s="56">
        <v>50.52</v>
      </c>
      <c r="AT40" s="56">
        <v>50.52</v>
      </c>
      <c r="AU40" s="56" t="s">
        <v>5</v>
      </c>
      <c r="AV40" s="56">
        <v>50.52</v>
      </c>
      <c r="AW40" s="56">
        <v>50.52</v>
      </c>
      <c r="AX40" s="56">
        <v>50.52</v>
      </c>
      <c r="AY40" s="56">
        <v>50.52</v>
      </c>
      <c r="AZ40" s="56">
        <v>50.52</v>
      </c>
      <c r="BA40" s="56">
        <v>50.52</v>
      </c>
      <c r="BB40" s="56">
        <v>50.52</v>
      </c>
      <c r="BC40" s="52">
        <f t="shared" si="5"/>
        <v>2576.52</v>
      </c>
      <c r="BD40" s="15"/>
      <c r="BE40" s="12"/>
      <c r="BF40" s="16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>
      <c r="A41" s="57" t="s">
        <v>14</v>
      </c>
      <c r="B41" s="58"/>
      <c r="C41" s="59">
        <v>50.52</v>
      </c>
      <c r="D41" s="59">
        <v>50.52</v>
      </c>
      <c r="E41" s="59">
        <v>50.52</v>
      </c>
      <c r="F41" s="59">
        <v>50.52</v>
      </c>
      <c r="G41" s="59">
        <v>50.52</v>
      </c>
      <c r="H41" s="59">
        <v>50.52</v>
      </c>
      <c r="I41" s="59">
        <v>50.52</v>
      </c>
      <c r="J41" s="59">
        <v>50.52</v>
      </c>
      <c r="K41" s="59">
        <v>50.52</v>
      </c>
      <c r="L41" s="59">
        <v>50.52</v>
      </c>
      <c r="M41" s="59">
        <v>50.52</v>
      </c>
      <c r="N41" s="59">
        <v>50.52</v>
      </c>
      <c r="O41" s="59">
        <v>50.52</v>
      </c>
      <c r="P41" s="59">
        <v>50.52</v>
      </c>
      <c r="Q41" s="59">
        <v>50.52</v>
      </c>
      <c r="R41" s="59">
        <v>50.52</v>
      </c>
      <c r="S41" s="59">
        <v>50.52</v>
      </c>
      <c r="T41" s="59">
        <v>50.52</v>
      </c>
      <c r="U41" s="59">
        <v>50.52</v>
      </c>
      <c r="V41" s="57">
        <v>50.52</v>
      </c>
      <c r="W41" s="57">
        <v>50.52</v>
      </c>
      <c r="X41" s="57">
        <v>50.52</v>
      </c>
      <c r="Y41" s="57">
        <v>50.52</v>
      </c>
      <c r="Z41" s="57">
        <v>50.52</v>
      </c>
      <c r="AA41" s="57">
        <v>50.52</v>
      </c>
      <c r="AB41" s="57">
        <v>50.52</v>
      </c>
      <c r="AC41" s="57">
        <v>50.52</v>
      </c>
      <c r="AD41" s="57">
        <v>50.52</v>
      </c>
      <c r="AE41" s="57">
        <v>50.52</v>
      </c>
      <c r="AF41" s="57">
        <v>50.52</v>
      </c>
      <c r="AG41" s="57">
        <v>50.52</v>
      </c>
      <c r="AH41" s="57">
        <v>50.52</v>
      </c>
      <c r="AI41" s="57">
        <v>50.52</v>
      </c>
      <c r="AJ41" s="57">
        <v>50.52</v>
      </c>
      <c r="AK41" s="57">
        <v>50.52</v>
      </c>
      <c r="AL41" s="57">
        <v>50.52</v>
      </c>
      <c r="AM41" s="57">
        <v>50.52</v>
      </c>
      <c r="AN41" s="60">
        <v>50.52</v>
      </c>
      <c r="AO41" s="60">
        <v>50.52</v>
      </c>
      <c r="AP41" s="60">
        <v>50.52</v>
      </c>
      <c r="AQ41" s="60">
        <v>50.52</v>
      </c>
      <c r="AR41" s="60">
        <v>50.52</v>
      </c>
      <c r="AS41" s="60">
        <v>50.52</v>
      </c>
      <c r="AT41" s="60">
        <v>50.52</v>
      </c>
      <c r="AU41" s="60">
        <v>50.52</v>
      </c>
      <c r="AV41" s="60">
        <v>50.52</v>
      </c>
      <c r="AW41" s="60">
        <v>50.52</v>
      </c>
      <c r="AX41" s="60">
        <v>50.52</v>
      </c>
      <c r="AY41" s="60">
        <v>50.52</v>
      </c>
      <c r="AZ41" s="60">
        <v>50.52</v>
      </c>
      <c r="BA41" s="60">
        <v>50.52</v>
      </c>
      <c r="BB41" s="60">
        <v>50.52</v>
      </c>
      <c r="BC41" s="52">
        <f t="shared" si="5"/>
        <v>2627.04</v>
      </c>
      <c r="BD41" s="59"/>
      <c r="BE41" s="59"/>
      <c r="BF41" s="61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</row>
    <row r="42">
      <c r="A42" s="9" t="s">
        <v>12</v>
      </c>
      <c r="B42" s="48"/>
      <c r="C42" s="49">
        <v>0.0</v>
      </c>
      <c r="D42" s="50">
        <v>0.0</v>
      </c>
      <c r="E42" s="50">
        <v>0.0</v>
      </c>
      <c r="F42" s="49">
        <v>0.0</v>
      </c>
      <c r="G42" s="50">
        <v>0.0</v>
      </c>
      <c r="H42" s="49">
        <v>0.0</v>
      </c>
      <c r="I42" s="49">
        <v>0.0</v>
      </c>
      <c r="J42" s="50">
        <v>0.0</v>
      </c>
      <c r="K42" s="50">
        <v>0.0</v>
      </c>
      <c r="L42" s="50">
        <v>0.0</v>
      </c>
      <c r="M42" s="49">
        <v>0.0</v>
      </c>
      <c r="N42" s="49">
        <v>0.0</v>
      </c>
      <c r="O42" s="13">
        <v>0.0</v>
      </c>
      <c r="P42" s="13">
        <v>0.0</v>
      </c>
      <c r="Q42" s="13">
        <v>0.0</v>
      </c>
      <c r="R42" s="13">
        <v>0.0</v>
      </c>
      <c r="S42" s="13">
        <v>0.0</v>
      </c>
      <c r="T42" s="13">
        <v>0.0</v>
      </c>
      <c r="U42" s="13">
        <v>0.0</v>
      </c>
      <c r="V42" s="13">
        <v>0.0</v>
      </c>
      <c r="W42" s="13">
        <v>0.0</v>
      </c>
      <c r="X42" s="13">
        <v>0.0</v>
      </c>
      <c r="Y42" s="13">
        <v>0.0</v>
      </c>
      <c r="Z42" s="13">
        <v>0.0</v>
      </c>
      <c r="AA42" s="13">
        <v>0.0</v>
      </c>
      <c r="AB42" s="13">
        <v>0.0</v>
      </c>
      <c r="AC42" s="13">
        <v>0.0</v>
      </c>
      <c r="AD42" s="13">
        <v>0.0</v>
      </c>
      <c r="AE42" s="13">
        <v>0.0</v>
      </c>
      <c r="AF42" s="13">
        <v>0.0</v>
      </c>
      <c r="AG42" s="13">
        <v>0.0</v>
      </c>
      <c r="AH42" s="13">
        <v>0.0</v>
      </c>
      <c r="AI42" s="13">
        <v>0.0</v>
      </c>
      <c r="AJ42" s="13">
        <v>0.0</v>
      </c>
      <c r="AK42" s="13">
        <v>0.0</v>
      </c>
      <c r="AL42" s="13">
        <v>0.0</v>
      </c>
      <c r="AM42" s="13">
        <v>0.0</v>
      </c>
      <c r="AN42" s="56">
        <v>0.0</v>
      </c>
      <c r="AO42" s="51">
        <v>0.0</v>
      </c>
      <c r="AP42" s="51">
        <v>0.0</v>
      </c>
      <c r="AQ42" s="51">
        <v>0.0</v>
      </c>
      <c r="AR42" s="51">
        <v>0.0</v>
      </c>
      <c r="AS42" s="51">
        <v>0.0</v>
      </c>
      <c r="AT42" s="51">
        <v>0.0</v>
      </c>
      <c r="AU42" s="51">
        <v>0.0</v>
      </c>
      <c r="AV42" s="51">
        <v>0.0</v>
      </c>
      <c r="AW42" s="51">
        <v>0.0</v>
      </c>
      <c r="AX42" s="51">
        <v>0.0</v>
      </c>
      <c r="AY42" s="51">
        <v>0.0</v>
      </c>
      <c r="AZ42" s="51">
        <v>0.0</v>
      </c>
      <c r="BA42" s="56">
        <v>0.0</v>
      </c>
      <c r="BB42" s="51">
        <v>0.0</v>
      </c>
      <c r="BC42" s="52">
        <f t="shared" si="5"/>
        <v>0.0</v>
      </c>
      <c r="BD42" s="13"/>
      <c r="BE42" s="13"/>
      <c r="BF42" s="16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>
      <c r="A43" s="6" t="s">
        <v>29</v>
      </c>
      <c r="B43" s="63"/>
      <c r="C43" s="64">
        <f t="shared" ref="C43:BB43" si="6">SUM(C38:C42)</f>
        <v>319.92</v>
      </c>
      <c r="D43" s="52">
        <f t="shared" si="6"/>
        <v>421.62</v>
      </c>
      <c r="E43" s="52">
        <f t="shared" si="6"/>
        <v>344.9</v>
      </c>
      <c r="F43" s="64">
        <f t="shared" si="6"/>
        <v>312.7</v>
      </c>
      <c r="G43" s="52">
        <f t="shared" si="6"/>
        <v>371.92</v>
      </c>
      <c r="H43" s="64">
        <f t="shared" si="6"/>
        <v>371.92</v>
      </c>
      <c r="I43" s="52">
        <f t="shared" si="6"/>
        <v>361.75</v>
      </c>
      <c r="J43" s="52">
        <f t="shared" si="6"/>
        <v>293.55</v>
      </c>
      <c r="K43" s="52">
        <f t="shared" si="6"/>
        <v>370.24</v>
      </c>
      <c r="L43" s="52">
        <f t="shared" si="6"/>
        <v>371.92</v>
      </c>
      <c r="M43" s="64">
        <f t="shared" si="6"/>
        <v>371.92</v>
      </c>
      <c r="N43" s="64">
        <f t="shared" si="6"/>
        <v>333.4</v>
      </c>
      <c r="O43" s="65">
        <f t="shared" si="6"/>
        <v>240.23</v>
      </c>
      <c r="P43" s="65">
        <f t="shared" si="6"/>
        <v>318.2</v>
      </c>
      <c r="Q43" s="65">
        <f t="shared" si="6"/>
        <v>306.98</v>
      </c>
      <c r="R43" s="65">
        <f t="shared" si="6"/>
        <v>304.26</v>
      </c>
      <c r="S43" s="65">
        <f t="shared" si="6"/>
        <v>346.42</v>
      </c>
      <c r="T43" s="65">
        <f t="shared" si="6"/>
        <v>232.7</v>
      </c>
      <c r="U43" s="65">
        <f t="shared" si="6"/>
        <v>316.44</v>
      </c>
      <c r="V43" s="65">
        <f t="shared" si="6"/>
        <v>262.1</v>
      </c>
      <c r="W43" s="65">
        <f t="shared" si="6"/>
        <v>265.28</v>
      </c>
      <c r="X43" s="65">
        <f t="shared" si="6"/>
        <v>251.39</v>
      </c>
      <c r="Y43" s="65">
        <f t="shared" si="6"/>
        <v>275.02</v>
      </c>
      <c r="Z43" s="65">
        <f t="shared" si="6"/>
        <v>365.47</v>
      </c>
      <c r="AA43" s="65">
        <f t="shared" si="6"/>
        <v>390.61</v>
      </c>
      <c r="AB43" s="65">
        <f t="shared" si="6"/>
        <v>364.98</v>
      </c>
      <c r="AC43" s="65">
        <f t="shared" si="6"/>
        <v>460.2</v>
      </c>
      <c r="AD43" s="65">
        <f t="shared" si="6"/>
        <v>344.05</v>
      </c>
      <c r="AE43" s="65">
        <f t="shared" si="6"/>
        <v>379.76</v>
      </c>
      <c r="AF43" s="65">
        <f t="shared" si="6"/>
        <v>419.53</v>
      </c>
      <c r="AG43" s="65">
        <f t="shared" si="6"/>
        <v>403.42</v>
      </c>
      <c r="AH43" s="65">
        <f t="shared" si="6"/>
        <v>410.78</v>
      </c>
      <c r="AI43" s="65">
        <f t="shared" si="6"/>
        <v>316.51</v>
      </c>
      <c r="AJ43" s="65">
        <f t="shared" si="6"/>
        <v>311.92</v>
      </c>
      <c r="AK43" s="65">
        <f t="shared" si="6"/>
        <v>307.54</v>
      </c>
      <c r="AL43" s="65">
        <f t="shared" si="6"/>
        <v>315.55</v>
      </c>
      <c r="AM43" s="65">
        <f t="shared" si="6"/>
        <v>256.28</v>
      </c>
      <c r="AN43" s="65">
        <f t="shared" si="6"/>
        <v>232.7</v>
      </c>
      <c r="AO43" s="65">
        <f t="shared" si="6"/>
        <v>249.62</v>
      </c>
      <c r="AP43" s="66">
        <f t="shared" si="6"/>
        <v>320.27</v>
      </c>
      <c r="AQ43" s="66">
        <f t="shared" si="6"/>
        <v>303.95</v>
      </c>
      <c r="AR43" s="66">
        <f t="shared" si="6"/>
        <v>302.88</v>
      </c>
      <c r="AS43" s="66">
        <f t="shared" si="6"/>
        <v>302.88</v>
      </c>
      <c r="AT43" s="66">
        <f t="shared" si="6"/>
        <v>302.88</v>
      </c>
      <c r="AU43" s="66">
        <f t="shared" si="6"/>
        <v>252.36</v>
      </c>
      <c r="AV43" s="66">
        <f t="shared" si="6"/>
        <v>287.25</v>
      </c>
      <c r="AW43" s="66">
        <f t="shared" si="6"/>
        <v>302.88</v>
      </c>
      <c r="AX43" s="66">
        <f t="shared" si="6"/>
        <v>360.42</v>
      </c>
      <c r="AY43" s="66">
        <f t="shared" si="6"/>
        <v>367.06</v>
      </c>
      <c r="AZ43" s="66">
        <f t="shared" si="6"/>
        <v>383.7</v>
      </c>
      <c r="BA43" s="66">
        <f t="shared" si="6"/>
        <v>396.84</v>
      </c>
      <c r="BB43" s="66">
        <f t="shared" si="6"/>
        <v>409.0</v>
      </c>
      <c r="BC43" s="52">
        <f t="shared" si="5"/>
        <v>17186.07</v>
      </c>
      <c r="BD43" s="65"/>
      <c r="BE43" s="65"/>
      <c r="BF43" s="7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</row>
    <row r="44">
      <c r="A44" s="16"/>
      <c r="B44" s="32"/>
      <c r="C44" s="33"/>
      <c r="D44" s="3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7"/>
      <c r="BD44" s="16"/>
      <c r="BE44" s="68"/>
      <c r="BF44" s="69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>
      <c r="A45" s="8"/>
      <c r="B45" s="39"/>
      <c r="C45" s="40"/>
      <c r="D45" s="41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67"/>
      <c r="AZ45" s="67"/>
      <c r="BA45" s="67"/>
      <c r="BB45" s="67"/>
      <c r="BC45" s="31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>
      <c r="A46" s="70" t="s">
        <v>31</v>
      </c>
      <c r="B46" s="43"/>
      <c r="C46" s="44">
        <f t="shared" ref="C46:AC46" si="7">C1</f>
        <v>45632.0</v>
      </c>
      <c r="D46" s="44">
        <f t="shared" si="7"/>
        <v>45639.0</v>
      </c>
      <c r="E46" s="44">
        <f t="shared" si="7"/>
        <v>45646.0</v>
      </c>
      <c r="F46" s="44">
        <f t="shared" si="7"/>
        <v>45653.0</v>
      </c>
      <c r="G46" s="44">
        <f t="shared" si="7"/>
        <v>45660.0</v>
      </c>
      <c r="H46" s="44">
        <f t="shared" si="7"/>
        <v>45667.0</v>
      </c>
      <c r="I46" s="44">
        <f t="shared" si="7"/>
        <v>45674.0</v>
      </c>
      <c r="J46" s="44">
        <f t="shared" si="7"/>
        <v>45681.0</v>
      </c>
      <c r="K46" s="44">
        <f t="shared" si="7"/>
        <v>45688.0</v>
      </c>
      <c r="L46" s="44">
        <f t="shared" si="7"/>
        <v>45695.0</v>
      </c>
      <c r="M46" s="44">
        <f t="shared" si="7"/>
        <v>45702.0</v>
      </c>
      <c r="N46" s="44">
        <f t="shared" si="7"/>
        <v>45709.0</v>
      </c>
      <c r="O46" s="44">
        <f t="shared" si="7"/>
        <v>45716.0</v>
      </c>
      <c r="P46" s="44">
        <f t="shared" si="7"/>
        <v>45723.0</v>
      </c>
      <c r="Q46" s="44">
        <f t="shared" si="7"/>
        <v>45730.0</v>
      </c>
      <c r="R46" s="44">
        <f t="shared" si="7"/>
        <v>45737.0</v>
      </c>
      <c r="S46" s="44">
        <f t="shared" si="7"/>
        <v>45744.0</v>
      </c>
      <c r="T46" s="44">
        <f t="shared" si="7"/>
        <v>45751.0</v>
      </c>
      <c r="U46" s="44">
        <f t="shared" si="7"/>
        <v>45758.0</v>
      </c>
      <c r="V46" s="44">
        <f t="shared" si="7"/>
        <v>45765.0</v>
      </c>
      <c r="W46" s="44">
        <f t="shared" si="7"/>
        <v>45772.0</v>
      </c>
      <c r="X46" s="44">
        <f t="shared" si="7"/>
        <v>45779.0</v>
      </c>
      <c r="Y46" s="44">
        <f t="shared" si="7"/>
        <v>45786.0</v>
      </c>
      <c r="Z46" s="44">
        <f t="shared" si="7"/>
        <v>45793.0</v>
      </c>
      <c r="AA46" s="44">
        <f t="shared" si="7"/>
        <v>45800.0</v>
      </c>
      <c r="AB46" s="44">
        <f t="shared" si="7"/>
        <v>45807.0</v>
      </c>
      <c r="AC46" s="44">
        <f t="shared" si="7"/>
        <v>45814.0</v>
      </c>
      <c r="AD46" s="71">
        <f t="shared" ref="AD46:AM46" si="8">AD37</f>
        <v>45821.0</v>
      </c>
      <c r="AE46" s="71">
        <f t="shared" si="8"/>
        <v>45828.0</v>
      </c>
      <c r="AF46" s="71">
        <f t="shared" si="8"/>
        <v>45835.0</v>
      </c>
      <c r="AG46" s="71">
        <f t="shared" si="8"/>
        <v>45842.0</v>
      </c>
      <c r="AH46" s="71">
        <f t="shared" si="8"/>
        <v>45849.0</v>
      </c>
      <c r="AI46" s="71">
        <f t="shared" si="8"/>
        <v>45856.0</v>
      </c>
      <c r="AJ46" s="71">
        <f t="shared" si="8"/>
        <v>45863.0</v>
      </c>
      <c r="AK46" s="71">
        <f t="shared" si="8"/>
        <v>45870.0</v>
      </c>
      <c r="AL46" s="71">
        <f t="shared" si="8"/>
        <v>45877.0</v>
      </c>
      <c r="AM46" s="71">
        <f t="shared" si="8"/>
        <v>45884.0</v>
      </c>
      <c r="AN46" s="45">
        <f t="shared" ref="AN46:BB46" si="9">AN1</f>
        <v>45891.0</v>
      </c>
      <c r="AO46" s="45">
        <f t="shared" si="9"/>
        <v>45898.0</v>
      </c>
      <c r="AP46" s="45">
        <f t="shared" si="9"/>
        <v>45905.0</v>
      </c>
      <c r="AQ46" s="45">
        <f t="shared" si="9"/>
        <v>45912.0</v>
      </c>
      <c r="AR46" s="45">
        <f t="shared" si="9"/>
        <v>45919.0</v>
      </c>
      <c r="AS46" s="45">
        <f t="shared" si="9"/>
        <v>45926.0</v>
      </c>
      <c r="AT46" s="45">
        <f t="shared" si="9"/>
        <v>45933.0</v>
      </c>
      <c r="AU46" s="45">
        <f t="shared" si="9"/>
        <v>45940.0</v>
      </c>
      <c r="AV46" s="45">
        <f t="shared" si="9"/>
        <v>45947.0</v>
      </c>
      <c r="AW46" s="45">
        <f t="shared" si="9"/>
        <v>45954.0</v>
      </c>
      <c r="AX46" s="45">
        <f t="shared" si="9"/>
        <v>45961.0</v>
      </c>
      <c r="AY46" s="45">
        <f t="shared" si="9"/>
        <v>45968.0</v>
      </c>
      <c r="AZ46" s="45">
        <f t="shared" si="9"/>
        <v>45975.0</v>
      </c>
      <c r="BA46" s="45">
        <f t="shared" si="9"/>
        <v>45982.0</v>
      </c>
      <c r="BB46" s="45">
        <f t="shared" si="9"/>
        <v>45989.0</v>
      </c>
      <c r="BC46" s="31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>
      <c r="A47" s="10" t="s">
        <v>7</v>
      </c>
      <c r="B47" s="72"/>
      <c r="C47" s="73">
        <v>0.0</v>
      </c>
      <c r="D47" s="74">
        <v>0.0</v>
      </c>
      <c r="E47" s="73">
        <v>0.0</v>
      </c>
      <c r="F47" s="73">
        <v>0.0</v>
      </c>
      <c r="G47" s="73">
        <v>0.0</v>
      </c>
      <c r="H47" s="73">
        <v>0.0</v>
      </c>
      <c r="I47" s="73">
        <v>0.0</v>
      </c>
      <c r="J47" s="73">
        <v>0.0</v>
      </c>
      <c r="K47" s="73">
        <v>0.0</v>
      </c>
      <c r="L47" s="73">
        <v>0.0</v>
      </c>
      <c r="M47" s="73">
        <v>0.0</v>
      </c>
      <c r="N47" s="73">
        <v>0.0</v>
      </c>
      <c r="O47" s="73">
        <v>0.0</v>
      </c>
      <c r="P47" s="73">
        <v>0.0</v>
      </c>
      <c r="Q47" s="73">
        <v>0.0</v>
      </c>
      <c r="R47" s="73">
        <v>0.0</v>
      </c>
      <c r="S47" s="73">
        <v>0.0</v>
      </c>
      <c r="T47" s="73">
        <v>0.0</v>
      </c>
      <c r="U47" s="73">
        <v>0.0</v>
      </c>
      <c r="V47" s="73">
        <v>0.0</v>
      </c>
      <c r="W47" s="73">
        <v>0.0</v>
      </c>
      <c r="X47" s="73">
        <v>0.0</v>
      </c>
      <c r="Y47" s="73">
        <v>0.0</v>
      </c>
      <c r="Z47" s="73">
        <v>0.0</v>
      </c>
      <c r="AA47" s="73">
        <v>0.0</v>
      </c>
      <c r="AB47" s="73">
        <v>0.0</v>
      </c>
      <c r="AC47" s="73">
        <v>0.0</v>
      </c>
      <c r="AD47" s="73">
        <v>0.0</v>
      </c>
      <c r="AE47" s="73">
        <v>0.0</v>
      </c>
      <c r="AF47" s="73">
        <v>0.0</v>
      </c>
      <c r="AG47" s="73">
        <v>0.0</v>
      </c>
      <c r="AH47" s="73">
        <v>0.0</v>
      </c>
      <c r="AI47" s="73">
        <v>0.0</v>
      </c>
      <c r="AJ47" s="73">
        <v>0.0</v>
      </c>
      <c r="AK47" s="73">
        <v>0.0</v>
      </c>
      <c r="AL47" s="73">
        <v>0.0</v>
      </c>
      <c r="AM47" s="73">
        <v>0.0</v>
      </c>
      <c r="AN47" s="73">
        <v>0.0</v>
      </c>
      <c r="AO47" s="73">
        <v>0.0</v>
      </c>
      <c r="AP47" s="73">
        <v>0.0</v>
      </c>
      <c r="AQ47" s="73">
        <v>0.0</v>
      </c>
      <c r="AR47" s="73">
        <v>0.0</v>
      </c>
      <c r="AS47" s="73">
        <v>0.0</v>
      </c>
      <c r="AT47" s="73">
        <v>0.0</v>
      </c>
      <c r="AU47" s="73">
        <v>0.0</v>
      </c>
      <c r="AV47" s="73">
        <v>0.0</v>
      </c>
      <c r="AW47" s="73">
        <v>0.0</v>
      </c>
      <c r="AX47" s="73">
        <v>0.0</v>
      </c>
      <c r="AY47" s="73">
        <v>0.0</v>
      </c>
      <c r="AZ47" s="73">
        <v>0.0</v>
      </c>
      <c r="BA47" s="73">
        <v>0.0</v>
      </c>
      <c r="BB47" s="73">
        <v>0.0</v>
      </c>
      <c r="BC47" s="75">
        <f t="shared" ref="BC47:BC55" si="10">SUM(C47:BB47)</f>
        <v>0.0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</row>
    <row r="48">
      <c r="A48" s="10" t="s">
        <v>19</v>
      </c>
      <c r="B48" s="72"/>
      <c r="C48" s="73">
        <v>0.0</v>
      </c>
      <c r="D48" s="73">
        <v>0.0</v>
      </c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0.0</v>
      </c>
      <c r="W48" s="73">
        <v>0.0</v>
      </c>
      <c r="X48" s="73">
        <v>0.0</v>
      </c>
      <c r="Y48" s="73">
        <v>0.0</v>
      </c>
      <c r="Z48" s="73">
        <v>0.0</v>
      </c>
      <c r="AA48" s="73">
        <v>0.0</v>
      </c>
      <c r="AB48" s="73">
        <v>0.0</v>
      </c>
      <c r="AC48" s="73">
        <v>0.0</v>
      </c>
      <c r="AD48" s="73">
        <v>0.0</v>
      </c>
      <c r="AE48" s="73">
        <v>0.0</v>
      </c>
      <c r="AF48" s="73">
        <v>0.0</v>
      </c>
      <c r="AG48" s="73">
        <v>0.0</v>
      </c>
      <c r="AH48" s="73">
        <v>0.0</v>
      </c>
      <c r="AI48" s="73">
        <v>0.0</v>
      </c>
      <c r="AJ48" s="73">
        <v>0.0</v>
      </c>
      <c r="AK48" s="73">
        <v>0.0</v>
      </c>
      <c r="AL48" s="73">
        <v>0.0</v>
      </c>
      <c r="AM48" s="73">
        <v>0.0</v>
      </c>
      <c r="AN48" s="73">
        <v>0.0</v>
      </c>
      <c r="AO48" s="73">
        <v>0.0</v>
      </c>
      <c r="AP48" s="73">
        <v>0.0</v>
      </c>
      <c r="AQ48" s="73">
        <v>0.0</v>
      </c>
      <c r="AR48" s="73">
        <v>0.0</v>
      </c>
      <c r="AS48" s="73">
        <v>0.0</v>
      </c>
      <c r="AT48" s="73">
        <v>0.0</v>
      </c>
      <c r="AU48" s="73">
        <v>0.0</v>
      </c>
      <c r="AV48" s="73">
        <v>0.0</v>
      </c>
      <c r="AW48" s="73">
        <v>0.0</v>
      </c>
      <c r="AX48" s="73">
        <v>0.0</v>
      </c>
      <c r="AY48" s="73">
        <v>0.0</v>
      </c>
      <c r="AZ48" s="73">
        <v>0.0</v>
      </c>
      <c r="BA48" s="73">
        <v>0.0</v>
      </c>
      <c r="BB48" s="73">
        <v>0.0</v>
      </c>
      <c r="BC48" s="75">
        <f t="shared" si="10"/>
        <v>0.0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>
      <c r="A49" s="10" t="s">
        <v>25</v>
      </c>
      <c r="B49" s="72"/>
      <c r="C49" s="73">
        <v>0.0</v>
      </c>
      <c r="D49" s="73">
        <v>0.0</v>
      </c>
      <c r="E49" s="73">
        <v>172.97</v>
      </c>
      <c r="F49" s="73">
        <v>0.0</v>
      </c>
      <c r="G49" s="73">
        <v>0.0</v>
      </c>
      <c r="H49" s="73">
        <v>0.0</v>
      </c>
      <c r="I49" s="73">
        <v>0.0</v>
      </c>
      <c r="J49" s="73">
        <v>0.0</v>
      </c>
      <c r="K49" s="73">
        <v>0.0</v>
      </c>
      <c r="L49" s="73">
        <v>0.0</v>
      </c>
      <c r="M49" s="73">
        <v>0.0</v>
      </c>
      <c r="N49" s="73">
        <v>0.0</v>
      </c>
      <c r="O49" s="73">
        <v>0.0</v>
      </c>
      <c r="P49" s="73">
        <v>0.0</v>
      </c>
      <c r="Q49" s="73">
        <v>0.0</v>
      </c>
      <c r="R49" s="73">
        <v>0.0</v>
      </c>
      <c r="S49" s="73">
        <v>0.0</v>
      </c>
      <c r="T49" s="73">
        <v>0.0</v>
      </c>
      <c r="U49" s="73">
        <v>0.0</v>
      </c>
      <c r="V49" s="73">
        <v>0.0</v>
      </c>
      <c r="W49" s="73">
        <v>0.0</v>
      </c>
      <c r="X49" s="73">
        <v>0.0</v>
      </c>
      <c r="Y49" s="73">
        <v>0.0</v>
      </c>
      <c r="Z49" s="73">
        <v>0.0</v>
      </c>
      <c r="AA49" s="73">
        <v>0.0</v>
      </c>
      <c r="AB49" s="73">
        <v>0.0</v>
      </c>
      <c r="AC49" s="73">
        <v>0.0</v>
      </c>
      <c r="AD49" s="73">
        <v>0.0</v>
      </c>
      <c r="AE49" s="73">
        <v>0.0</v>
      </c>
      <c r="AF49" s="73">
        <v>0.0</v>
      </c>
      <c r="AG49" s="73">
        <v>0.0</v>
      </c>
      <c r="AH49" s="73">
        <v>0.0</v>
      </c>
      <c r="AI49" s="73">
        <v>0.0</v>
      </c>
      <c r="AJ49" s="73">
        <v>0.0</v>
      </c>
      <c r="AK49" s="73">
        <v>0.0</v>
      </c>
      <c r="AL49" s="73">
        <v>0.0</v>
      </c>
      <c r="AM49" s="73">
        <v>0.0</v>
      </c>
      <c r="AN49" s="73">
        <v>0.0</v>
      </c>
      <c r="AO49" s="73">
        <v>0.0</v>
      </c>
      <c r="AP49" s="73">
        <v>0.0</v>
      </c>
      <c r="AQ49" s="73">
        <v>0.0</v>
      </c>
      <c r="AR49" s="73">
        <v>0.0</v>
      </c>
      <c r="AS49" s="73">
        <v>0.0</v>
      </c>
      <c r="AT49" s="73">
        <v>0.0</v>
      </c>
      <c r="AU49" s="73">
        <v>153.47</v>
      </c>
      <c r="AV49" s="73">
        <v>0.0</v>
      </c>
      <c r="AW49" s="73">
        <v>0.0</v>
      </c>
      <c r="AX49" s="73">
        <v>0.0</v>
      </c>
      <c r="AY49" s="73">
        <v>0.0</v>
      </c>
      <c r="AZ49" s="73">
        <v>0.0</v>
      </c>
      <c r="BA49" s="73">
        <v>0.0</v>
      </c>
      <c r="BB49" s="73">
        <v>0.0</v>
      </c>
      <c r="BC49" s="75">
        <f t="shared" si="10"/>
        <v>326.44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>
      <c r="A50" s="10" t="s">
        <v>16</v>
      </c>
      <c r="B50" s="72"/>
      <c r="C50" s="73">
        <v>0.0</v>
      </c>
      <c r="D50" s="73">
        <v>0.0</v>
      </c>
      <c r="E50" s="73">
        <v>172.97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0.0</v>
      </c>
      <c r="AG50" s="73">
        <v>0.0</v>
      </c>
      <c r="AH50" s="73">
        <v>0.0</v>
      </c>
      <c r="AI50" s="73">
        <v>0.0</v>
      </c>
      <c r="AJ50" s="73">
        <v>0.0</v>
      </c>
      <c r="AK50" s="73">
        <v>0.0</v>
      </c>
      <c r="AL50" s="73">
        <v>0.0</v>
      </c>
      <c r="AM50" s="73">
        <v>0.0</v>
      </c>
      <c r="AN50" s="73">
        <v>0.0</v>
      </c>
      <c r="AO50" s="73">
        <v>0.0</v>
      </c>
      <c r="AP50" s="73">
        <v>0.0</v>
      </c>
      <c r="AQ50" s="73">
        <v>0.0</v>
      </c>
      <c r="AR50" s="73">
        <v>0.0</v>
      </c>
      <c r="AS50" s="73">
        <v>0.0</v>
      </c>
      <c r="AT50" s="73">
        <v>0.0</v>
      </c>
      <c r="AU50" s="73">
        <v>0.0</v>
      </c>
      <c r="AV50" s="73">
        <v>0.0</v>
      </c>
      <c r="AW50" s="73">
        <v>0.0</v>
      </c>
      <c r="AX50" s="73">
        <v>0.0</v>
      </c>
      <c r="AY50" s="73">
        <v>0.0</v>
      </c>
      <c r="AZ50" s="73">
        <v>0.0</v>
      </c>
      <c r="BA50" s="73">
        <v>0.0</v>
      </c>
      <c r="BB50" s="73">
        <v>0.0</v>
      </c>
      <c r="BC50" s="75">
        <f t="shared" si="10"/>
        <v>172.97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>
      <c r="A51" s="10" t="s">
        <v>21</v>
      </c>
      <c r="B51" s="72"/>
      <c r="C51" s="73">
        <v>0.0</v>
      </c>
      <c r="D51" s="73">
        <v>0.0</v>
      </c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0.0</v>
      </c>
      <c r="U51" s="73">
        <v>0.0</v>
      </c>
      <c r="V51" s="73">
        <v>0.0</v>
      </c>
      <c r="W51" s="73">
        <v>0.0</v>
      </c>
      <c r="X51" s="73">
        <v>172.97</v>
      </c>
      <c r="Y51" s="73">
        <v>0.0</v>
      </c>
      <c r="Z51" s="73">
        <v>0.0</v>
      </c>
      <c r="AA51" s="73">
        <v>0.0</v>
      </c>
      <c r="AB51" s="73">
        <v>0.0</v>
      </c>
      <c r="AC51" s="73">
        <v>0.0</v>
      </c>
      <c r="AD51" s="73">
        <v>0.0</v>
      </c>
      <c r="AE51" s="73">
        <v>0.0</v>
      </c>
      <c r="AF51" s="73">
        <v>0.0</v>
      </c>
      <c r="AG51" s="73">
        <v>0.0</v>
      </c>
      <c r="AH51" s="73">
        <v>0.0</v>
      </c>
      <c r="AI51" s="73">
        <v>0.0</v>
      </c>
      <c r="AJ51" s="73">
        <v>0.0</v>
      </c>
      <c r="AK51" s="73">
        <v>0.0</v>
      </c>
      <c r="AL51" s="73">
        <v>0.0</v>
      </c>
      <c r="AM51" s="73">
        <v>0.0</v>
      </c>
      <c r="AN51" s="73">
        <v>0.0</v>
      </c>
      <c r="AO51" s="73">
        <v>0.0</v>
      </c>
      <c r="AP51" s="73">
        <v>0.0</v>
      </c>
      <c r="AQ51" s="73">
        <v>0.0</v>
      </c>
      <c r="AR51" s="73">
        <v>0.0</v>
      </c>
      <c r="AS51" s="73">
        <v>0.0</v>
      </c>
      <c r="AT51" s="73">
        <v>0.0</v>
      </c>
      <c r="AU51" s="73">
        <v>0.0</v>
      </c>
      <c r="AV51" s="73">
        <v>0.0</v>
      </c>
      <c r="AW51" s="73">
        <v>0.0</v>
      </c>
      <c r="AX51" s="73">
        <v>0.0</v>
      </c>
      <c r="AY51" s="73">
        <v>0.0</v>
      </c>
      <c r="AZ51" s="73">
        <v>0.0</v>
      </c>
      <c r="BA51" s="73">
        <v>0.0</v>
      </c>
      <c r="BB51" s="73">
        <v>0.0</v>
      </c>
      <c r="BC51" s="75">
        <f t="shared" si="10"/>
        <v>172.97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>
      <c r="A52" s="9" t="s">
        <v>26</v>
      </c>
      <c r="B52" s="72"/>
      <c r="C52" s="73">
        <v>0.0</v>
      </c>
      <c r="D52" s="73">
        <v>0.0</v>
      </c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0.0</v>
      </c>
      <c r="V52" s="73">
        <v>0.0</v>
      </c>
      <c r="W52" s="73">
        <v>0.0</v>
      </c>
      <c r="X52" s="73">
        <v>0.0</v>
      </c>
      <c r="Y52" s="73">
        <v>0.0</v>
      </c>
      <c r="Z52" s="73">
        <v>0.0</v>
      </c>
      <c r="AA52" s="73">
        <v>0.0</v>
      </c>
      <c r="AB52" s="73">
        <v>0.0</v>
      </c>
      <c r="AC52" s="73">
        <v>57.43</v>
      </c>
      <c r="AD52" s="73">
        <v>0.0</v>
      </c>
      <c r="AE52" s="73">
        <v>0.0</v>
      </c>
      <c r="AF52" s="73">
        <v>0.0</v>
      </c>
      <c r="AG52" s="73">
        <v>0.0</v>
      </c>
      <c r="AH52" s="73">
        <v>0.0</v>
      </c>
      <c r="AI52" s="73">
        <v>0.0</v>
      </c>
      <c r="AJ52" s="73">
        <v>0.0</v>
      </c>
      <c r="AK52" s="73">
        <v>0.0</v>
      </c>
      <c r="AL52" s="73">
        <v>0.0</v>
      </c>
      <c r="AM52" s="73">
        <v>0.0</v>
      </c>
      <c r="AN52" s="73">
        <v>0.0</v>
      </c>
      <c r="AO52" s="73">
        <v>0.0</v>
      </c>
      <c r="AP52" s="73">
        <v>0.0</v>
      </c>
      <c r="AQ52" s="73">
        <v>0.0</v>
      </c>
      <c r="AR52" s="73">
        <v>0.0</v>
      </c>
      <c r="AS52" s="73">
        <v>0.0</v>
      </c>
      <c r="AT52" s="73">
        <v>0.0</v>
      </c>
      <c r="AU52" s="73">
        <v>153.47</v>
      </c>
      <c r="AV52" s="73">
        <v>0.0</v>
      </c>
      <c r="AW52" s="73">
        <v>0.0</v>
      </c>
      <c r="AX52" s="73">
        <v>0.0</v>
      </c>
      <c r="AY52" s="73">
        <v>0.0</v>
      </c>
      <c r="AZ52" s="73">
        <v>0.0</v>
      </c>
      <c r="BA52" s="73">
        <v>0.0</v>
      </c>
      <c r="BB52" s="73">
        <v>0.0</v>
      </c>
      <c r="BC52" s="75">
        <f t="shared" si="10"/>
        <v>210.9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>
      <c r="A53" s="9" t="s">
        <v>18</v>
      </c>
      <c r="B53" s="72"/>
      <c r="C53" s="73">
        <v>0.0</v>
      </c>
      <c r="D53" s="73">
        <v>0.0</v>
      </c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57.43</v>
      </c>
      <c r="AD53" s="73">
        <v>0.0</v>
      </c>
      <c r="AE53" s="73">
        <v>0.0</v>
      </c>
      <c r="AF53" s="73">
        <v>0.0</v>
      </c>
      <c r="AG53" s="73">
        <v>0.0</v>
      </c>
      <c r="AH53" s="73">
        <v>0.0</v>
      </c>
      <c r="AI53" s="73">
        <v>0.0</v>
      </c>
      <c r="AJ53" s="73">
        <v>0.0</v>
      </c>
      <c r="AK53" s="73">
        <v>0.0</v>
      </c>
      <c r="AL53" s="73">
        <v>0.0</v>
      </c>
      <c r="AM53" s="73">
        <v>0.0</v>
      </c>
      <c r="AN53" s="73">
        <v>0.0</v>
      </c>
      <c r="AO53" s="73">
        <v>0.0</v>
      </c>
      <c r="AP53" s="73">
        <v>0.0</v>
      </c>
      <c r="AQ53" s="73">
        <v>0.0</v>
      </c>
      <c r="AR53" s="73">
        <v>0.0</v>
      </c>
      <c r="AS53" s="73">
        <v>0.0</v>
      </c>
      <c r="AT53" s="73">
        <v>0.0</v>
      </c>
      <c r="AU53" s="73">
        <v>0.0</v>
      </c>
      <c r="AV53" s="73">
        <v>0.0</v>
      </c>
      <c r="AW53" s="73">
        <v>0.0</v>
      </c>
      <c r="AX53" s="73">
        <v>0.0</v>
      </c>
      <c r="AY53" s="73">
        <v>0.0</v>
      </c>
      <c r="AZ53" s="73">
        <v>0.0</v>
      </c>
      <c r="BA53" s="73">
        <v>0.0</v>
      </c>
      <c r="BB53" s="73">
        <v>0.0</v>
      </c>
      <c r="BC53" s="75">
        <f t="shared" si="10"/>
        <v>57.43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>
      <c r="A54" s="76" t="s">
        <v>17</v>
      </c>
      <c r="B54" s="72"/>
      <c r="C54" s="73">
        <v>0.0</v>
      </c>
      <c r="D54" s="73">
        <v>0.0</v>
      </c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0.0</v>
      </c>
      <c r="AA54" s="73">
        <v>0.0</v>
      </c>
      <c r="AB54" s="73">
        <v>0.0</v>
      </c>
      <c r="AC54" s="73">
        <v>0.0</v>
      </c>
      <c r="AD54" s="73">
        <v>0.0</v>
      </c>
      <c r="AE54" s="73">
        <v>0.0</v>
      </c>
      <c r="AF54" s="73">
        <v>0.0</v>
      </c>
      <c r="AG54" s="73">
        <v>0.0</v>
      </c>
      <c r="AH54" s="73">
        <v>0.0</v>
      </c>
      <c r="AI54" s="73">
        <v>0.0</v>
      </c>
      <c r="AJ54" s="73">
        <v>0.0</v>
      </c>
      <c r="AK54" s="73">
        <v>0.0</v>
      </c>
      <c r="AL54" s="73">
        <v>0.0</v>
      </c>
      <c r="AM54" s="73">
        <v>0.0</v>
      </c>
      <c r="AN54" s="73">
        <v>0.0</v>
      </c>
      <c r="AO54" s="73">
        <v>0.0</v>
      </c>
      <c r="AP54" s="73">
        <v>0.0</v>
      </c>
      <c r="AQ54" s="73">
        <v>0.0</v>
      </c>
      <c r="AR54" s="73">
        <v>0.0</v>
      </c>
      <c r="AS54" s="73">
        <v>0.0</v>
      </c>
      <c r="AT54" s="73">
        <v>0.0</v>
      </c>
      <c r="AU54" s="28">
        <v>172.97</v>
      </c>
      <c r="AV54" s="73">
        <v>0.0</v>
      </c>
      <c r="AW54" s="73">
        <v>0.0</v>
      </c>
      <c r="AX54" s="73">
        <v>0.0</v>
      </c>
      <c r="AY54" s="73">
        <v>0.0</v>
      </c>
      <c r="AZ54" s="73">
        <v>0.0</v>
      </c>
      <c r="BA54" s="73">
        <v>0.0</v>
      </c>
      <c r="BB54" s="73">
        <v>0.0</v>
      </c>
      <c r="BC54" s="75">
        <f t="shared" si="10"/>
        <v>172.97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>
      <c r="A55" s="8"/>
      <c r="B55" s="77"/>
      <c r="C55" s="78">
        <f t="shared" ref="C55:BB55" si="11">SUM(C47:C54)</f>
        <v>0.0</v>
      </c>
      <c r="D55" s="78">
        <f t="shared" si="11"/>
        <v>0.0</v>
      </c>
      <c r="E55" s="78">
        <f t="shared" si="11"/>
        <v>345.94</v>
      </c>
      <c r="F55" s="78">
        <f t="shared" si="11"/>
        <v>0.0</v>
      </c>
      <c r="G55" s="78">
        <f t="shared" si="11"/>
        <v>0.0</v>
      </c>
      <c r="H55" s="78">
        <f t="shared" si="11"/>
        <v>0.0</v>
      </c>
      <c r="I55" s="78">
        <f t="shared" si="11"/>
        <v>0.0</v>
      </c>
      <c r="J55" s="78">
        <f t="shared" si="11"/>
        <v>0.0</v>
      </c>
      <c r="K55" s="78">
        <f t="shared" si="11"/>
        <v>0.0</v>
      </c>
      <c r="L55" s="78">
        <f t="shared" si="11"/>
        <v>0.0</v>
      </c>
      <c r="M55" s="78">
        <f t="shared" si="11"/>
        <v>0.0</v>
      </c>
      <c r="N55" s="78">
        <f t="shared" si="11"/>
        <v>0.0</v>
      </c>
      <c r="O55" s="78">
        <f t="shared" si="11"/>
        <v>0.0</v>
      </c>
      <c r="P55" s="78">
        <f t="shared" si="11"/>
        <v>0.0</v>
      </c>
      <c r="Q55" s="78">
        <f t="shared" si="11"/>
        <v>0.0</v>
      </c>
      <c r="R55" s="78">
        <f t="shared" si="11"/>
        <v>0.0</v>
      </c>
      <c r="S55" s="78">
        <f t="shared" si="11"/>
        <v>0.0</v>
      </c>
      <c r="T55" s="78">
        <f t="shared" si="11"/>
        <v>0.0</v>
      </c>
      <c r="U55" s="78">
        <f t="shared" si="11"/>
        <v>0.0</v>
      </c>
      <c r="V55" s="78">
        <f t="shared" si="11"/>
        <v>0.0</v>
      </c>
      <c r="W55" s="78">
        <f t="shared" si="11"/>
        <v>0.0</v>
      </c>
      <c r="X55" s="78">
        <f t="shared" si="11"/>
        <v>172.97</v>
      </c>
      <c r="Y55" s="78">
        <f t="shared" si="11"/>
        <v>0.0</v>
      </c>
      <c r="Z55" s="78">
        <f t="shared" si="11"/>
        <v>0.0</v>
      </c>
      <c r="AA55" s="78">
        <f t="shared" si="11"/>
        <v>0.0</v>
      </c>
      <c r="AB55" s="78">
        <f t="shared" si="11"/>
        <v>0.0</v>
      </c>
      <c r="AC55" s="78">
        <f t="shared" si="11"/>
        <v>114.86</v>
      </c>
      <c r="AD55" s="78">
        <f t="shared" si="11"/>
        <v>0.0</v>
      </c>
      <c r="AE55" s="78">
        <f t="shared" si="11"/>
        <v>0.0</v>
      </c>
      <c r="AF55" s="78">
        <f t="shared" si="11"/>
        <v>0.0</v>
      </c>
      <c r="AG55" s="78">
        <f t="shared" si="11"/>
        <v>0.0</v>
      </c>
      <c r="AH55" s="78">
        <f t="shared" si="11"/>
        <v>0.0</v>
      </c>
      <c r="AI55" s="78">
        <f t="shared" si="11"/>
        <v>0.0</v>
      </c>
      <c r="AJ55" s="78">
        <f t="shared" si="11"/>
        <v>0.0</v>
      </c>
      <c r="AK55" s="78">
        <f t="shared" si="11"/>
        <v>0.0</v>
      </c>
      <c r="AL55" s="78">
        <f t="shared" si="11"/>
        <v>0.0</v>
      </c>
      <c r="AM55" s="78">
        <f t="shared" si="11"/>
        <v>0.0</v>
      </c>
      <c r="AN55" s="78">
        <f t="shared" si="11"/>
        <v>0.0</v>
      </c>
      <c r="AO55" s="78">
        <f t="shared" si="11"/>
        <v>0.0</v>
      </c>
      <c r="AP55" s="78">
        <f t="shared" si="11"/>
        <v>0.0</v>
      </c>
      <c r="AQ55" s="78">
        <f t="shared" si="11"/>
        <v>0.0</v>
      </c>
      <c r="AR55" s="78">
        <f t="shared" si="11"/>
        <v>0.0</v>
      </c>
      <c r="AS55" s="78">
        <f t="shared" si="11"/>
        <v>0.0</v>
      </c>
      <c r="AT55" s="78">
        <f t="shared" si="11"/>
        <v>0.0</v>
      </c>
      <c r="AU55" s="78">
        <f t="shared" si="11"/>
        <v>479.91</v>
      </c>
      <c r="AV55" s="78">
        <f t="shared" si="11"/>
        <v>0.0</v>
      </c>
      <c r="AW55" s="78">
        <f t="shared" si="11"/>
        <v>0.0</v>
      </c>
      <c r="AX55" s="78">
        <f t="shared" si="11"/>
        <v>0.0</v>
      </c>
      <c r="AY55" s="78">
        <f t="shared" si="11"/>
        <v>0.0</v>
      </c>
      <c r="AZ55" s="78">
        <f t="shared" si="11"/>
        <v>0.0</v>
      </c>
      <c r="BA55" s="78">
        <f t="shared" si="11"/>
        <v>0.0</v>
      </c>
      <c r="BB55" s="78">
        <f t="shared" si="11"/>
        <v>0.0</v>
      </c>
      <c r="BC55" s="75">
        <f t="shared" si="10"/>
        <v>1113.68</v>
      </c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</row>
    <row r="56">
      <c r="A56" s="79" t="s">
        <v>32</v>
      </c>
      <c r="B56" s="39"/>
      <c r="C56" s="40"/>
      <c r="D56" s="41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31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>
      <c r="A57" s="9"/>
      <c r="B57" s="80"/>
      <c r="C57" s="71">
        <f t="shared" ref="C57:BB57" si="12">C1</f>
        <v>45632.0</v>
      </c>
      <c r="D57" s="71">
        <f t="shared" si="12"/>
        <v>45639.0</v>
      </c>
      <c r="E57" s="71">
        <f t="shared" si="12"/>
        <v>45646.0</v>
      </c>
      <c r="F57" s="71">
        <f t="shared" si="12"/>
        <v>45653.0</v>
      </c>
      <c r="G57" s="71">
        <f t="shared" si="12"/>
        <v>45660.0</v>
      </c>
      <c r="H57" s="71">
        <f t="shared" si="12"/>
        <v>45667.0</v>
      </c>
      <c r="I57" s="71">
        <f t="shared" si="12"/>
        <v>45674.0</v>
      </c>
      <c r="J57" s="71">
        <f t="shared" si="12"/>
        <v>45681.0</v>
      </c>
      <c r="K57" s="71">
        <f t="shared" si="12"/>
        <v>45688.0</v>
      </c>
      <c r="L57" s="71">
        <f t="shared" si="12"/>
        <v>45695.0</v>
      </c>
      <c r="M57" s="71">
        <f t="shared" si="12"/>
        <v>45702.0</v>
      </c>
      <c r="N57" s="71">
        <f t="shared" si="12"/>
        <v>45709.0</v>
      </c>
      <c r="O57" s="71">
        <f t="shared" si="12"/>
        <v>45716.0</v>
      </c>
      <c r="P57" s="71">
        <f t="shared" si="12"/>
        <v>45723.0</v>
      </c>
      <c r="Q57" s="71">
        <f t="shared" si="12"/>
        <v>45730.0</v>
      </c>
      <c r="R57" s="71">
        <f t="shared" si="12"/>
        <v>45737.0</v>
      </c>
      <c r="S57" s="71">
        <f t="shared" si="12"/>
        <v>45744.0</v>
      </c>
      <c r="T57" s="71">
        <f t="shared" si="12"/>
        <v>45751.0</v>
      </c>
      <c r="U57" s="71">
        <f t="shared" si="12"/>
        <v>45758.0</v>
      </c>
      <c r="V57" s="71">
        <f t="shared" si="12"/>
        <v>45765.0</v>
      </c>
      <c r="W57" s="71">
        <f t="shared" si="12"/>
        <v>45772.0</v>
      </c>
      <c r="X57" s="71">
        <f t="shared" si="12"/>
        <v>45779.0</v>
      </c>
      <c r="Y57" s="71">
        <f t="shared" si="12"/>
        <v>45786.0</v>
      </c>
      <c r="Z57" s="71">
        <f t="shared" si="12"/>
        <v>45793.0</v>
      </c>
      <c r="AA57" s="71">
        <f t="shared" si="12"/>
        <v>45800.0</v>
      </c>
      <c r="AB57" s="71">
        <f t="shared" si="12"/>
        <v>45807.0</v>
      </c>
      <c r="AC57" s="71">
        <f t="shared" si="12"/>
        <v>45814.0</v>
      </c>
      <c r="AD57" s="71">
        <f t="shared" si="12"/>
        <v>45821.0</v>
      </c>
      <c r="AE57" s="71">
        <f t="shared" si="12"/>
        <v>45828.0</v>
      </c>
      <c r="AF57" s="71">
        <f t="shared" si="12"/>
        <v>45835.0</v>
      </c>
      <c r="AG57" s="71">
        <f t="shared" si="12"/>
        <v>45842.0</v>
      </c>
      <c r="AH57" s="71">
        <f t="shared" si="12"/>
        <v>45849.0</v>
      </c>
      <c r="AI57" s="71">
        <f t="shared" si="12"/>
        <v>45856.0</v>
      </c>
      <c r="AJ57" s="71">
        <f t="shared" si="12"/>
        <v>45863.0</v>
      </c>
      <c r="AK57" s="71">
        <f t="shared" si="12"/>
        <v>45870.0</v>
      </c>
      <c r="AL57" s="71">
        <f t="shared" si="12"/>
        <v>45877.0</v>
      </c>
      <c r="AM57" s="71">
        <f t="shared" si="12"/>
        <v>45884.0</v>
      </c>
      <c r="AN57" s="81">
        <f t="shared" si="12"/>
        <v>45891.0</v>
      </c>
      <c r="AO57" s="81">
        <f t="shared" si="12"/>
        <v>45898.0</v>
      </c>
      <c r="AP57" s="81">
        <f t="shared" si="12"/>
        <v>45905.0</v>
      </c>
      <c r="AQ57" s="81">
        <f t="shared" si="12"/>
        <v>45912.0</v>
      </c>
      <c r="AR57" s="81">
        <f t="shared" si="12"/>
        <v>45919.0</v>
      </c>
      <c r="AS57" s="81">
        <f t="shared" si="12"/>
        <v>45926.0</v>
      </c>
      <c r="AT57" s="81">
        <f t="shared" si="12"/>
        <v>45933.0</v>
      </c>
      <c r="AU57" s="81">
        <f t="shared" si="12"/>
        <v>45940.0</v>
      </c>
      <c r="AV57" s="81">
        <f t="shared" si="12"/>
        <v>45947.0</v>
      </c>
      <c r="AW57" s="81">
        <f t="shared" si="12"/>
        <v>45954.0</v>
      </c>
      <c r="AX57" s="81">
        <f t="shared" si="12"/>
        <v>45961.0</v>
      </c>
      <c r="AY57" s="81">
        <f t="shared" si="12"/>
        <v>45968.0</v>
      </c>
      <c r="AZ57" s="81">
        <f t="shared" si="12"/>
        <v>45975.0</v>
      </c>
      <c r="BA57" s="81">
        <f t="shared" si="12"/>
        <v>45982.0</v>
      </c>
      <c r="BB57" s="81">
        <f t="shared" si="12"/>
        <v>45989.0</v>
      </c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</row>
    <row r="58">
      <c r="A58" s="10" t="s">
        <v>7</v>
      </c>
      <c r="B58" s="39"/>
      <c r="C58" s="73">
        <v>0.0</v>
      </c>
      <c r="D58" s="73">
        <v>0.0</v>
      </c>
      <c r="E58" s="73">
        <v>0.0</v>
      </c>
      <c r="F58" s="73">
        <v>0.0</v>
      </c>
      <c r="G58" s="73">
        <v>0.0</v>
      </c>
      <c r="H58" s="73">
        <v>0.0</v>
      </c>
      <c r="I58" s="73">
        <v>0.0</v>
      </c>
      <c r="J58" s="73">
        <v>0.0</v>
      </c>
      <c r="K58" s="73">
        <v>0.0</v>
      </c>
      <c r="L58" s="73">
        <v>0.0</v>
      </c>
      <c r="M58" s="73">
        <v>0.0</v>
      </c>
      <c r="N58" s="73">
        <v>0.0</v>
      </c>
      <c r="O58" s="73">
        <v>0.0</v>
      </c>
      <c r="P58" s="73">
        <v>0.0</v>
      </c>
      <c r="Q58" s="73">
        <v>0.0</v>
      </c>
      <c r="R58" s="73">
        <v>0.0</v>
      </c>
      <c r="S58" s="73">
        <v>0.0</v>
      </c>
      <c r="T58" s="73">
        <v>0.0</v>
      </c>
      <c r="U58" s="73">
        <v>0.0</v>
      </c>
      <c r="V58" s="73">
        <v>0.0</v>
      </c>
      <c r="W58" s="73">
        <v>0.0</v>
      </c>
      <c r="X58" s="73">
        <v>0.0</v>
      </c>
      <c r="Y58" s="73">
        <v>0.0</v>
      </c>
      <c r="Z58" s="73">
        <v>0.0</v>
      </c>
      <c r="AA58" s="73">
        <v>0.0</v>
      </c>
      <c r="AB58" s="73">
        <v>0.0</v>
      </c>
      <c r="AC58" s="73">
        <v>0.0</v>
      </c>
      <c r="AD58" s="73">
        <v>0.0</v>
      </c>
      <c r="AE58" s="73">
        <v>0.0</v>
      </c>
      <c r="AF58" s="73">
        <v>0.0</v>
      </c>
      <c r="AG58" s="73">
        <v>0.0</v>
      </c>
      <c r="AH58" s="73">
        <v>0.0</v>
      </c>
      <c r="AI58" s="73">
        <v>0.0</v>
      </c>
      <c r="AJ58" s="73">
        <v>0.0</v>
      </c>
      <c r="AK58" s="73">
        <v>0.0</v>
      </c>
      <c r="AL58" s="73">
        <v>0.0</v>
      </c>
      <c r="AM58" s="73">
        <v>0.0</v>
      </c>
      <c r="AN58" s="73">
        <v>0.0</v>
      </c>
      <c r="AO58" s="73">
        <v>0.0</v>
      </c>
      <c r="AP58" s="28">
        <v>0.0</v>
      </c>
      <c r="AQ58" s="28">
        <v>0.0</v>
      </c>
      <c r="AR58" s="28">
        <v>0.0</v>
      </c>
      <c r="AS58" s="28">
        <v>0.0</v>
      </c>
      <c r="AT58" s="28">
        <v>0.0</v>
      </c>
      <c r="AU58" s="28">
        <v>0.0</v>
      </c>
      <c r="AV58" s="28">
        <v>0.0</v>
      </c>
      <c r="AW58" s="28">
        <v>0.0</v>
      </c>
      <c r="AX58" s="28">
        <v>0.0</v>
      </c>
      <c r="AY58" s="28">
        <v>0.0</v>
      </c>
      <c r="AZ58" s="28">
        <v>0.0</v>
      </c>
      <c r="BA58" s="28">
        <v>0.0</v>
      </c>
      <c r="BB58" s="28">
        <v>0.0</v>
      </c>
      <c r="BC58" s="78">
        <f t="shared" ref="BC58:BC63" si="13">SUM(C58:BB58)</f>
        <v>0.0</v>
      </c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</row>
    <row r="59">
      <c r="A59" s="10" t="s">
        <v>19</v>
      </c>
      <c r="B59" s="39"/>
      <c r="C59" s="73">
        <v>0.0</v>
      </c>
      <c r="D59" s="73">
        <v>0.0</v>
      </c>
      <c r="E59" s="73">
        <v>0.0</v>
      </c>
      <c r="F59" s="73">
        <v>0.0</v>
      </c>
      <c r="G59" s="73">
        <v>0.0</v>
      </c>
      <c r="H59" s="73">
        <v>0.0</v>
      </c>
      <c r="I59" s="73">
        <v>0.0</v>
      </c>
      <c r="J59" s="73">
        <v>0.0</v>
      </c>
      <c r="K59" s="73">
        <v>0.0</v>
      </c>
      <c r="L59" s="73">
        <v>0.0</v>
      </c>
      <c r="M59" s="73">
        <v>0.0</v>
      </c>
      <c r="N59" s="73">
        <v>0.0</v>
      </c>
      <c r="O59" s="73">
        <v>0.0</v>
      </c>
      <c r="P59" s="73">
        <v>0.0</v>
      </c>
      <c r="Q59" s="73">
        <v>0.0</v>
      </c>
      <c r="R59" s="73">
        <v>0.0</v>
      </c>
      <c r="S59" s="73">
        <v>0.0</v>
      </c>
      <c r="T59" s="73">
        <v>0.0</v>
      </c>
      <c r="U59" s="73">
        <v>0.0</v>
      </c>
      <c r="V59" s="73">
        <v>0.0</v>
      </c>
      <c r="W59" s="73">
        <v>0.0</v>
      </c>
      <c r="X59" s="73">
        <v>0.0</v>
      </c>
      <c r="Y59" s="73">
        <v>0.0</v>
      </c>
      <c r="Z59" s="73">
        <v>0.0</v>
      </c>
      <c r="AA59" s="73">
        <v>0.0</v>
      </c>
      <c r="AB59" s="73">
        <v>0.0</v>
      </c>
      <c r="AC59" s="73">
        <v>0.0</v>
      </c>
      <c r="AD59" s="73">
        <v>0.0</v>
      </c>
      <c r="AE59" s="73">
        <v>0.0</v>
      </c>
      <c r="AF59" s="73">
        <v>0.0</v>
      </c>
      <c r="AG59" s="73">
        <v>0.0</v>
      </c>
      <c r="AH59" s="73">
        <v>0.0</v>
      </c>
      <c r="AI59" s="73">
        <v>0.0</v>
      </c>
      <c r="AJ59" s="73">
        <v>0.0</v>
      </c>
      <c r="AK59" s="73">
        <v>0.0</v>
      </c>
      <c r="AL59" s="73">
        <v>0.0</v>
      </c>
      <c r="AM59" s="73">
        <v>0.0</v>
      </c>
      <c r="AN59" s="73">
        <v>0.0</v>
      </c>
      <c r="AO59" s="73">
        <v>0.0</v>
      </c>
      <c r="AP59" s="28">
        <v>0.0</v>
      </c>
      <c r="AQ59" s="28">
        <v>0.0</v>
      </c>
      <c r="AR59" s="28">
        <v>0.0</v>
      </c>
      <c r="AS59" s="28">
        <v>0.0</v>
      </c>
      <c r="AT59" s="28">
        <v>0.0</v>
      </c>
      <c r="AU59" s="28">
        <v>0.0</v>
      </c>
      <c r="AV59" s="28">
        <v>0.0</v>
      </c>
      <c r="AW59" s="28">
        <v>0.0</v>
      </c>
      <c r="AX59" s="28">
        <v>0.0</v>
      </c>
      <c r="AY59" s="28">
        <v>0.0</v>
      </c>
      <c r="AZ59" s="28">
        <v>0.0</v>
      </c>
      <c r="BA59" s="28">
        <v>0.0</v>
      </c>
      <c r="BB59" s="28">
        <v>0.0</v>
      </c>
      <c r="BC59" s="78">
        <f t="shared" si="13"/>
        <v>0.0</v>
      </c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</row>
    <row r="60">
      <c r="A60" s="10" t="s">
        <v>25</v>
      </c>
      <c r="B60" s="39"/>
      <c r="C60" s="73">
        <v>0.0</v>
      </c>
      <c r="D60" s="73">
        <v>0.0</v>
      </c>
      <c r="E60" s="73">
        <v>0.0</v>
      </c>
      <c r="F60" s="73">
        <v>0.0</v>
      </c>
      <c r="G60" s="73">
        <v>0.0</v>
      </c>
      <c r="H60" s="73">
        <v>0.0</v>
      </c>
      <c r="I60" s="73">
        <v>0.0</v>
      </c>
      <c r="J60" s="73">
        <v>0.0</v>
      </c>
      <c r="K60" s="73">
        <v>0.0</v>
      </c>
      <c r="L60" s="73">
        <v>0.0</v>
      </c>
      <c r="M60" s="73">
        <v>0.0</v>
      </c>
      <c r="N60" s="73">
        <v>0.0</v>
      </c>
      <c r="O60" s="73">
        <v>0.0</v>
      </c>
      <c r="P60" s="73">
        <v>0.0</v>
      </c>
      <c r="Q60" s="73">
        <v>0.0</v>
      </c>
      <c r="R60" s="73">
        <v>0.0</v>
      </c>
      <c r="S60" s="73">
        <v>0.0</v>
      </c>
      <c r="T60" s="73">
        <v>0.0</v>
      </c>
      <c r="U60" s="73">
        <v>0.0</v>
      </c>
      <c r="V60" s="73">
        <v>0.0</v>
      </c>
      <c r="W60" s="73">
        <v>0.0</v>
      </c>
      <c r="X60" s="73">
        <v>0.0</v>
      </c>
      <c r="Y60" s="73">
        <v>0.0</v>
      </c>
      <c r="Z60" s="73">
        <v>0.0</v>
      </c>
      <c r="AA60" s="73">
        <v>0.0</v>
      </c>
      <c r="AB60" s="73">
        <v>0.0</v>
      </c>
      <c r="AC60" s="73">
        <v>0.0</v>
      </c>
      <c r="AD60" s="73">
        <v>0.0</v>
      </c>
      <c r="AE60" s="73">
        <v>0.0</v>
      </c>
      <c r="AF60" s="73">
        <v>0.0</v>
      </c>
      <c r="AG60" s="73">
        <v>0.0</v>
      </c>
      <c r="AH60" s="73">
        <v>0.0</v>
      </c>
      <c r="AI60" s="73">
        <v>0.0</v>
      </c>
      <c r="AJ60" s="73">
        <v>0.0</v>
      </c>
      <c r="AK60" s="73">
        <v>0.0</v>
      </c>
      <c r="AL60" s="73">
        <v>0.0</v>
      </c>
      <c r="AM60" s="73">
        <v>0.0</v>
      </c>
      <c r="AN60" s="73">
        <v>0.0</v>
      </c>
      <c r="AO60" s="73">
        <v>0.0</v>
      </c>
      <c r="AP60" s="28">
        <v>0.0</v>
      </c>
      <c r="AQ60" s="28">
        <v>0.0</v>
      </c>
      <c r="AR60" s="28">
        <v>0.0</v>
      </c>
      <c r="AS60" s="28">
        <v>0.0</v>
      </c>
      <c r="AT60" s="28">
        <v>0.0</v>
      </c>
      <c r="AU60" s="28">
        <v>0.0</v>
      </c>
      <c r="AV60" s="28">
        <v>0.0</v>
      </c>
      <c r="AW60" s="28">
        <v>0.0</v>
      </c>
      <c r="AX60" s="28">
        <v>0.0</v>
      </c>
      <c r="AY60" s="28">
        <v>0.0</v>
      </c>
      <c r="AZ60" s="28">
        <v>0.0</v>
      </c>
      <c r="BA60" s="28">
        <v>0.0</v>
      </c>
      <c r="BB60" s="28">
        <v>0.0</v>
      </c>
      <c r="BC60" s="78">
        <f t="shared" si="13"/>
        <v>0.0</v>
      </c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</row>
    <row r="61">
      <c r="A61" s="10" t="s">
        <v>16</v>
      </c>
      <c r="B61" s="39"/>
      <c r="C61" s="73">
        <v>0.0</v>
      </c>
      <c r="D61" s="73">
        <v>0.0</v>
      </c>
      <c r="E61" s="73">
        <v>0.0</v>
      </c>
      <c r="F61" s="73">
        <v>0.0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0.0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0.0</v>
      </c>
      <c r="S61" s="73">
        <v>0.0</v>
      </c>
      <c r="T61" s="73">
        <v>0.0</v>
      </c>
      <c r="U61" s="73">
        <v>0.0</v>
      </c>
      <c r="V61" s="73">
        <v>0.0</v>
      </c>
      <c r="W61" s="73">
        <v>0.0</v>
      </c>
      <c r="X61" s="73">
        <v>0.0</v>
      </c>
      <c r="Y61" s="73">
        <v>0.0</v>
      </c>
      <c r="Z61" s="73">
        <v>0.0</v>
      </c>
      <c r="AA61" s="73">
        <v>0.0</v>
      </c>
      <c r="AB61" s="73">
        <v>0.0</v>
      </c>
      <c r="AC61" s="73">
        <v>0.0</v>
      </c>
      <c r="AD61" s="73">
        <v>0.0</v>
      </c>
      <c r="AE61" s="73">
        <v>0.0</v>
      </c>
      <c r="AF61" s="73">
        <v>0.0</v>
      </c>
      <c r="AG61" s="73">
        <v>0.0</v>
      </c>
      <c r="AH61" s="73">
        <v>0.0</v>
      </c>
      <c r="AI61" s="73">
        <v>0.0</v>
      </c>
      <c r="AJ61" s="73">
        <v>0.0</v>
      </c>
      <c r="AK61" s="73">
        <v>0.0</v>
      </c>
      <c r="AL61" s="73">
        <v>0.0</v>
      </c>
      <c r="AM61" s="73">
        <v>0.0</v>
      </c>
      <c r="AN61" s="73">
        <v>0.0</v>
      </c>
      <c r="AO61" s="73">
        <v>0.0</v>
      </c>
      <c r="AP61" s="28">
        <v>0.0</v>
      </c>
      <c r="AQ61" s="28">
        <v>0.0</v>
      </c>
      <c r="AR61" s="28">
        <v>0.0</v>
      </c>
      <c r="AS61" s="28">
        <v>0.0</v>
      </c>
      <c r="AT61" s="28">
        <v>0.0</v>
      </c>
      <c r="AU61" s="28">
        <v>0.0</v>
      </c>
      <c r="AV61" s="28">
        <v>0.0</v>
      </c>
      <c r="AW61" s="28">
        <v>0.0</v>
      </c>
      <c r="AX61" s="28">
        <v>0.0</v>
      </c>
      <c r="AY61" s="28">
        <v>0.0</v>
      </c>
      <c r="AZ61" s="28">
        <v>0.0</v>
      </c>
      <c r="BA61" s="28">
        <v>0.0</v>
      </c>
      <c r="BB61" s="28">
        <v>0.0</v>
      </c>
      <c r="BC61" s="78">
        <f t="shared" si="13"/>
        <v>0.0</v>
      </c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</row>
    <row r="62">
      <c r="A62" s="10" t="s">
        <v>26</v>
      </c>
      <c r="B62" s="72"/>
      <c r="C62" s="73">
        <v>0.0</v>
      </c>
      <c r="D62" s="73">
        <v>0.0</v>
      </c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73">
        <v>0.0</v>
      </c>
      <c r="AG62" s="73">
        <v>0.0</v>
      </c>
      <c r="AH62" s="73">
        <v>0.0</v>
      </c>
      <c r="AI62" s="73">
        <v>0.0</v>
      </c>
      <c r="AJ62" s="73">
        <v>0.0</v>
      </c>
      <c r="AK62" s="73">
        <v>0.0</v>
      </c>
      <c r="AL62" s="73">
        <v>0.0</v>
      </c>
      <c r="AM62" s="73">
        <v>0.0</v>
      </c>
      <c r="AN62" s="73">
        <v>0.0</v>
      </c>
      <c r="AO62" s="73">
        <v>0.0</v>
      </c>
      <c r="AP62" s="28">
        <v>0.0</v>
      </c>
      <c r="AQ62" s="28">
        <v>0.0</v>
      </c>
      <c r="AR62" s="28">
        <v>0.0</v>
      </c>
      <c r="AS62" s="28">
        <v>0.0</v>
      </c>
      <c r="AT62" s="28">
        <v>0.0</v>
      </c>
      <c r="AU62" s="28">
        <v>0.0</v>
      </c>
      <c r="AV62" s="28">
        <v>0.0</v>
      </c>
      <c r="AW62" s="28">
        <v>0.0</v>
      </c>
      <c r="AX62" s="28">
        <v>0.0</v>
      </c>
      <c r="AY62" s="28">
        <v>0.0</v>
      </c>
      <c r="AZ62" s="28">
        <v>0.0</v>
      </c>
      <c r="BA62" s="28">
        <v>0.0</v>
      </c>
      <c r="BB62" s="28">
        <v>0.0</v>
      </c>
      <c r="BC62" s="78">
        <f t="shared" si="13"/>
        <v>0.0</v>
      </c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</row>
    <row r="63">
      <c r="A63" s="25" t="s">
        <v>21</v>
      </c>
      <c r="B63" s="39"/>
      <c r="C63" s="73">
        <v>0.0</v>
      </c>
      <c r="D63" s="73">
        <v>0.0</v>
      </c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0.0</v>
      </c>
      <c r="AH63" s="73">
        <v>0.0</v>
      </c>
      <c r="AI63" s="73">
        <v>0.0</v>
      </c>
      <c r="AJ63" s="73">
        <v>0.0</v>
      </c>
      <c r="AK63" s="73">
        <v>0.0</v>
      </c>
      <c r="AL63" s="73">
        <v>0.0</v>
      </c>
      <c r="AM63" s="73">
        <v>0.0</v>
      </c>
      <c r="AN63" s="73">
        <v>0.0</v>
      </c>
      <c r="AO63" s="28">
        <v>832.08</v>
      </c>
      <c r="AP63" s="28">
        <v>0.0</v>
      </c>
      <c r="AQ63" s="28">
        <v>0.0</v>
      </c>
      <c r="AR63" s="28">
        <v>0.0</v>
      </c>
      <c r="AS63" s="28">
        <v>0.0</v>
      </c>
      <c r="AT63" s="28">
        <v>0.0</v>
      </c>
      <c r="AU63" s="28">
        <v>0.0</v>
      </c>
      <c r="AV63" s="28">
        <v>0.0</v>
      </c>
      <c r="AW63" s="28">
        <v>0.0</v>
      </c>
      <c r="AX63" s="28">
        <v>0.0</v>
      </c>
      <c r="AY63" s="28">
        <v>0.0</v>
      </c>
      <c r="AZ63" s="28">
        <v>0.0</v>
      </c>
      <c r="BA63" s="28">
        <v>0.0</v>
      </c>
      <c r="BB63" s="28">
        <v>0.0</v>
      </c>
      <c r="BC63" s="78">
        <f t="shared" si="13"/>
        <v>832.08</v>
      </c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</row>
    <row r="64">
      <c r="A64" s="76"/>
      <c r="B64" s="39"/>
      <c r="C64" s="40"/>
      <c r="D64" s="41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78">
        <f>SUM(BC58:BC63)</f>
        <v>832.08</v>
      </c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>
      <c r="A65" s="8"/>
      <c r="B65" s="39"/>
      <c r="C65" s="40"/>
      <c r="D65" s="41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31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>
      <c r="A66" s="70" t="s">
        <v>33</v>
      </c>
      <c r="B66" s="39"/>
      <c r="C66" s="71">
        <f t="shared" ref="C66:BB66" si="14">C1</f>
        <v>45632.0</v>
      </c>
      <c r="D66" s="71">
        <f t="shared" si="14"/>
        <v>45639.0</v>
      </c>
      <c r="E66" s="71">
        <f t="shared" si="14"/>
        <v>45646.0</v>
      </c>
      <c r="F66" s="71">
        <f t="shared" si="14"/>
        <v>45653.0</v>
      </c>
      <c r="G66" s="71">
        <f t="shared" si="14"/>
        <v>45660.0</v>
      </c>
      <c r="H66" s="71">
        <f t="shared" si="14"/>
        <v>45667.0</v>
      </c>
      <c r="I66" s="71">
        <f t="shared" si="14"/>
        <v>45674.0</v>
      </c>
      <c r="J66" s="71">
        <f t="shared" si="14"/>
        <v>45681.0</v>
      </c>
      <c r="K66" s="71">
        <f t="shared" si="14"/>
        <v>45688.0</v>
      </c>
      <c r="L66" s="71">
        <f t="shared" si="14"/>
        <v>45695.0</v>
      </c>
      <c r="M66" s="71">
        <f t="shared" si="14"/>
        <v>45702.0</v>
      </c>
      <c r="N66" s="71">
        <f t="shared" si="14"/>
        <v>45709.0</v>
      </c>
      <c r="O66" s="71">
        <f t="shared" si="14"/>
        <v>45716.0</v>
      </c>
      <c r="P66" s="71">
        <f t="shared" si="14"/>
        <v>45723.0</v>
      </c>
      <c r="Q66" s="71">
        <f t="shared" si="14"/>
        <v>45730.0</v>
      </c>
      <c r="R66" s="71">
        <f t="shared" si="14"/>
        <v>45737.0</v>
      </c>
      <c r="S66" s="71">
        <f t="shared" si="14"/>
        <v>45744.0</v>
      </c>
      <c r="T66" s="71">
        <f t="shared" si="14"/>
        <v>45751.0</v>
      </c>
      <c r="U66" s="71">
        <f t="shared" si="14"/>
        <v>45758.0</v>
      </c>
      <c r="V66" s="71">
        <f t="shared" si="14"/>
        <v>45765.0</v>
      </c>
      <c r="W66" s="71">
        <f t="shared" si="14"/>
        <v>45772.0</v>
      </c>
      <c r="X66" s="71">
        <f t="shared" si="14"/>
        <v>45779.0</v>
      </c>
      <c r="Y66" s="71">
        <f t="shared" si="14"/>
        <v>45786.0</v>
      </c>
      <c r="Z66" s="71">
        <f t="shared" si="14"/>
        <v>45793.0</v>
      </c>
      <c r="AA66" s="71">
        <f t="shared" si="14"/>
        <v>45800.0</v>
      </c>
      <c r="AB66" s="71">
        <f t="shared" si="14"/>
        <v>45807.0</v>
      </c>
      <c r="AC66" s="71">
        <f t="shared" si="14"/>
        <v>45814.0</v>
      </c>
      <c r="AD66" s="71">
        <f t="shared" si="14"/>
        <v>45821.0</v>
      </c>
      <c r="AE66" s="71">
        <f t="shared" si="14"/>
        <v>45828.0</v>
      </c>
      <c r="AF66" s="71">
        <f t="shared" si="14"/>
        <v>45835.0</v>
      </c>
      <c r="AG66" s="71">
        <f t="shared" si="14"/>
        <v>45842.0</v>
      </c>
      <c r="AH66" s="71">
        <f t="shared" si="14"/>
        <v>45849.0</v>
      </c>
      <c r="AI66" s="71">
        <f t="shared" si="14"/>
        <v>45856.0</v>
      </c>
      <c r="AJ66" s="71">
        <f t="shared" si="14"/>
        <v>45863.0</v>
      </c>
      <c r="AK66" s="71">
        <f t="shared" si="14"/>
        <v>45870.0</v>
      </c>
      <c r="AL66" s="71">
        <f t="shared" si="14"/>
        <v>45877.0</v>
      </c>
      <c r="AM66" s="71">
        <f t="shared" si="14"/>
        <v>45884.0</v>
      </c>
      <c r="AN66" s="71">
        <f t="shared" si="14"/>
        <v>45891.0</v>
      </c>
      <c r="AO66" s="71">
        <f t="shared" si="14"/>
        <v>45898.0</v>
      </c>
      <c r="AP66" s="71">
        <f t="shared" si="14"/>
        <v>45905.0</v>
      </c>
      <c r="AQ66" s="71">
        <f t="shared" si="14"/>
        <v>45912.0</v>
      </c>
      <c r="AR66" s="71">
        <f t="shared" si="14"/>
        <v>45919.0</v>
      </c>
      <c r="AS66" s="71">
        <f t="shared" si="14"/>
        <v>45926.0</v>
      </c>
      <c r="AT66" s="71">
        <f t="shared" si="14"/>
        <v>45933.0</v>
      </c>
      <c r="AU66" s="71">
        <f t="shared" si="14"/>
        <v>45940.0</v>
      </c>
      <c r="AV66" s="71">
        <f t="shared" si="14"/>
        <v>45947.0</v>
      </c>
      <c r="AW66" s="71">
        <f t="shared" si="14"/>
        <v>45954.0</v>
      </c>
      <c r="AX66" s="71">
        <f t="shared" si="14"/>
        <v>45961.0</v>
      </c>
      <c r="AY66" s="71">
        <f t="shared" si="14"/>
        <v>45968.0</v>
      </c>
      <c r="AZ66" s="71">
        <f t="shared" si="14"/>
        <v>45975.0</v>
      </c>
      <c r="BA66" s="71">
        <f t="shared" si="14"/>
        <v>45982.0</v>
      </c>
      <c r="BB66" s="71">
        <f t="shared" si="14"/>
        <v>45989.0</v>
      </c>
      <c r="BC66" s="31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>
      <c r="A67" s="10" t="s">
        <v>16</v>
      </c>
      <c r="B67" s="77"/>
      <c r="C67" s="78"/>
      <c r="D67" s="82"/>
      <c r="E67" s="78"/>
      <c r="F67" s="78"/>
      <c r="G67" s="78"/>
      <c r="H67" s="78"/>
      <c r="I67" s="78"/>
      <c r="J67" s="78"/>
      <c r="K67" s="78"/>
      <c r="L67" s="78"/>
      <c r="M67" s="78"/>
      <c r="N67" s="73">
        <v>324.74</v>
      </c>
      <c r="O67" s="76">
        <v>0.0</v>
      </c>
      <c r="P67" s="76">
        <v>0.0</v>
      </c>
      <c r="Q67" s="76">
        <v>0.0</v>
      </c>
      <c r="R67" s="76">
        <v>0.0</v>
      </c>
      <c r="S67" s="76">
        <v>0.0</v>
      </c>
      <c r="T67" s="76">
        <v>0.0</v>
      </c>
      <c r="U67" s="76">
        <v>0.0</v>
      </c>
      <c r="V67" s="76">
        <v>0.0</v>
      </c>
      <c r="W67" s="70">
        <v>0.0</v>
      </c>
      <c r="X67" s="70">
        <v>0.0</v>
      </c>
      <c r="Y67" s="70">
        <v>0.0</v>
      </c>
      <c r="Z67" s="76">
        <v>153.46</v>
      </c>
      <c r="AA67" s="70">
        <v>0.0</v>
      </c>
      <c r="AB67" s="70">
        <v>0.0</v>
      </c>
      <c r="AC67" s="70">
        <v>0.0</v>
      </c>
      <c r="AD67" s="70">
        <v>0.0</v>
      </c>
      <c r="AE67" s="70">
        <v>0.0</v>
      </c>
      <c r="AF67" s="76">
        <v>324.74</v>
      </c>
      <c r="AG67" s="70">
        <v>0.0</v>
      </c>
      <c r="AH67" s="70">
        <v>0.0</v>
      </c>
      <c r="AI67" s="70">
        <v>0.0</v>
      </c>
      <c r="AJ67" s="70">
        <v>0.0</v>
      </c>
      <c r="AK67" s="70">
        <v>0.0</v>
      </c>
      <c r="AL67" s="51">
        <v>0.0</v>
      </c>
      <c r="AM67" s="51">
        <v>0.0</v>
      </c>
      <c r="AN67" s="51">
        <v>0.0</v>
      </c>
      <c r="AO67" s="51">
        <v>0.0</v>
      </c>
      <c r="AP67" s="51">
        <v>0.0</v>
      </c>
      <c r="AQ67" s="51">
        <v>0.0</v>
      </c>
      <c r="AR67" s="51">
        <v>0.0</v>
      </c>
      <c r="AS67" s="51">
        <v>0.0</v>
      </c>
      <c r="AT67" s="51">
        <v>0.0</v>
      </c>
      <c r="AU67" s="51">
        <v>0.0</v>
      </c>
      <c r="AV67" s="51">
        <v>0.0</v>
      </c>
      <c r="AW67" s="51">
        <v>0.0</v>
      </c>
      <c r="AX67" s="51">
        <v>0.0</v>
      </c>
      <c r="AY67" s="51">
        <v>0.0</v>
      </c>
      <c r="AZ67" s="51">
        <v>0.0</v>
      </c>
      <c r="BA67" s="51">
        <v>0.0</v>
      </c>
      <c r="BB67" s="51">
        <v>0.0</v>
      </c>
      <c r="BC67" s="78">
        <f t="shared" ref="BC67:BC70" si="15">SUM(C67:BB67)</f>
        <v>802.94</v>
      </c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</row>
    <row r="68">
      <c r="A68" s="76" t="s">
        <v>34</v>
      </c>
      <c r="B68" s="39"/>
      <c r="C68" s="40"/>
      <c r="D68" s="41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76">
        <v>153.46</v>
      </c>
      <c r="AG68" s="8"/>
      <c r="AH68" s="8"/>
      <c r="AI68" s="8"/>
      <c r="AJ68" s="8"/>
      <c r="AK68" s="76">
        <v>153.46</v>
      </c>
      <c r="AL68" s="8"/>
      <c r="AM68" s="8"/>
      <c r="AN68" s="67"/>
      <c r="AO68" s="67"/>
      <c r="AP68" s="67"/>
      <c r="AQ68" s="67"/>
      <c r="AR68" s="67"/>
      <c r="AS68" s="67"/>
      <c r="AT68" s="51"/>
      <c r="AU68" s="51">
        <v>153.46</v>
      </c>
      <c r="AV68" s="67"/>
      <c r="AW68" s="67"/>
      <c r="AX68" s="67"/>
      <c r="AY68" s="83"/>
      <c r="AZ68" s="67"/>
      <c r="BA68" s="67"/>
      <c r="BB68" s="67"/>
      <c r="BC68" s="78">
        <f t="shared" si="15"/>
        <v>460.38</v>
      </c>
      <c r="BD68" s="76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>
      <c r="A69" s="76" t="s">
        <v>35</v>
      </c>
      <c r="B69" s="39"/>
      <c r="C69" s="40"/>
      <c r="D69" s="41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76">
        <v>153.46</v>
      </c>
      <c r="AG69" s="8"/>
      <c r="AH69" s="8"/>
      <c r="AI69" s="8"/>
      <c r="AJ69" s="8"/>
      <c r="AK69" s="76">
        <v>153.46</v>
      </c>
      <c r="AL69" s="8"/>
      <c r="AM69" s="8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83"/>
      <c r="AZ69" s="67"/>
      <c r="BA69" s="67"/>
      <c r="BB69" s="67"/>
      <c r="BC69" s="78">
        <f t="shared" si="15"/>
        <v>306.92</v>
      </c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>
      <c r="A70" s="76" t="s">
        <v>36</v>
      </c>
      <c r="B70" s="39"/>
      <c r="C70" s="40"/>
      <c r="D70" s="41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76">
        <v>153.46</v>
      </c>
      <c r="AG70" s="8"/>
      <c r="AH70" s="8"/>
      <c r="AI70" s="8"/>
      <c r="AJ70" s="8"/>
      <c r="AK70" s="76">
        <v>0.0</v>
      </c>
      <c r="AL70" s="8"/>
      <c r="AM70" s="8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78">
        <f t="shared" si="15"/>
        <v>153.46</v>
      </c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>
      <c r="A71" s="8"/>
      <c r="B71" s="39"/>
      <c r="C71" s="40"/>
      <c r="D71" s="41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78">
        <f>SUM(BC67:BC70)</f>
        <v>1723.7</v>
      </c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>
      <c r="A72" s="8"/>
      <c r="B72" s="39"/>
      <c r="C72" s="40"/>
      <c r="D72" s="41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31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>
      <c r="A73" s="76" t="s">
        <v>37</v>
      </c>
      <c r="B73" s="39"/>
      <c r="C73" s="40"/>
      <c r="D73" s="41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31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>
      <c r="A74" s="10" t="s">
        <v>7</v>
      </c>
      <c r="B74" s="39"/>
      <c r="C74" s="40"/>
      <c r="D74" s="41"/>
      <c r="E74" s="40"/>
      <c r="F74" s="40"/>
      <c r="G74" s="40"/>
      <c r="H74" s="40"/>
      <c r="I74" s="40"/>
      <c r="J74" s="40"/>
      <c r="K74" s="40"/>
      <c r="L74" s="40"/>
      <c r="M74" s="40"/>
      <c r="N74" s="73">
        <v>161.94</v>
      </c>
      <c r="O74" s="76">
        <v>169.19</v>
      </c>
      <c r="P74" s="76">
        <v>154.14</v>
      </c>
      <c r="Q74" s="8"/>
      <c r="R74" s="76">
        <v>188.64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75">
        <f t="shared" ref="BC74:BC79" si="16">SUM(B74:BB74)</f>
        <v>673.91</v>
      </c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>
      <c r="A75" s="10" t="s">
        <v>19</v>
      </c>
      <c r="B75" s="39"/>
      <c r="C75" s="40"/>
      <c r="D75" s="41"/>
      <c r="E75" s="40"/>
      <c r="F75" s="40"/>
      <c r="G75" s="40"/>
      <c r="H75" s="40"/>
      <c r="I75" s="40"/>
      <c r="J75" s="40"/>
      <c r="K75" s="40"/>
      <c r="L75" s="40"/>
      <c r="M75" s="40"/>
      <c r="N75" s="73">
        <v>161.94</v>
      </c>
      <c r="O75" s="76">
        <v>169.19</v>
      </c>
      <c r="P75" s="76">
        <v>128.6</v>
      </c>
      <c r="Q75" s="76">
        <v>146.92</v>
      </c>
      <c r="R75" s="76">
        <v>127.04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75">
        <f t="shared" si="16"/>
        <v>733.69</v>
      </c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>
      <c r="A76" s="10" t="s">
        <v>25</v>
      </c>
      <c r="B76" s="39"/>
      <c r="C76" s="40"/>
      <c r="D76" s="41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76">
        <v>88.5</v>
      </c>
      <c r="P76" s="76">
        <v>69.35</v>
      </c>
      <c r="Q76" s="8"/>
      <c r="R76" s="76">
        <v>70.09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75">
        <f t="shared" si="16"/>
        <v>227.94</v>
      </c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>
      <c r="A77" s="10" t="s">
        <v>16</v>
      </c>
      <c r="B77" s="39"/>
      <c r="C77" s="40"/>
      <c r="D77" s="41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76">
        <v>88.5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75">
        <f t="shared" si="16"/>
        <v>88.5</v>
      </c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>
      <c r="A78" s="10" t="s">
        <v>26</v>
      </c>
      <c r="B78" s="39"/>
      <c r="C78" s="40"/>
      <c r="D78" s="41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75">
        <f t="shared" si="16"/>
        <v>0.0</v>
      </c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>
      <c r="A79" s="25" t="s">
        <v>21</v>
      </c>
      <c r="B79" s="39"/>
      <c r="C79" s="40"/>
      <c r="D79" s="41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75">
        <f t="shared" si="16"/>
        <v>0.0</v>
      </c>
      <c r="BD79" s="8"/>
      <c r="BE79" s="76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>
      <c r="A80" s="76" t="s">
        <v>38</v>
      </c>
      <c r="B80" s="39"/>
      <c r="C80" s="40">
        <f t="shared" ref="C80:BC80" si="17">SUM(C74:C79)</f>
        <v>0.0</v>
      </c>
      <c r="D80" s="41">
        <f t="shared" si="17"/>
        <v>0.0</v>
      </c>
      <c r="E80" s="40">
        <f t="shared" si="17"/>
        <v>0.0</v>
      </c>
      <c r="F80" s="40">
        <f t="shared" si="17"/>
        <v>0.0</v>
      </c>
      <c r="G80" s="40">
        <f t="shared" si="17"/>
        <v>0.0</v>
      </c>
      <c r="H80" s="40">
        <f t="shared" si="17"/>
        <v>0.0</v>
      </c>
      <c r="I80" s="40">
        <f t="shared" si="17"/>
        <v>0.0</v>
      </c>
      <c r="J80" s="40">
        <f t="shared" si="17"/>
        <v>0.0</v>
      </c>
      <c r="K80" s="40">
        <f t="shared" si="17"/>
        <v>0.0</v>
      </c>
      <c r="L80" s="40">
        <f t="shared" si="17"/>
        <v>0.0</v>
      </c>
      <c r="M80" s="40">
        <f t="shared" si="17"/>
        <v>0.0</v>
      </c>
      <c r="N80" s="40">
        <f t="shared" si="17"/>
        <v>323.88</v>
      </c>
      <c r="O80" s="8">
        <f t="shared" si="17"/>
        <v>515.38</v>
      </c>
      <c r="P80" s="8">
        <f t="shared" si="17"/>
        <v>352.09</v>
      </c>
      <c r="Q80" s="8">
        <f t="shared" si="17"/>
        <v>146.92</v>
      </c>
      <c r="R80" s="8">
        <f t="shared" si="17"/>
        <v>385.77</v>
      </c>
      <c r="S80" s="8">
        <f t="shared" si="17"/>
        <v>0.0</v>
      </c>
      <c r="T80" s="8">
        <f t="shared" si="17"/>
        <v>0.0</v>
      </c>
      <c r="U80" s="8">
        <f t="shared" si="17"/>
        <v>0.0</v>
      </c>
      <c r="V80" s="8">
        <f t="shared" si="17"/>
        <v>0.0</v>
      </c>
      <c r="W80" s="8">
        <f t="shared" si="17"/>
        <v>0.0</v>
      </c>
      <c r="X80" s="8">
        <f t="shared" si="17"/>
        <v>0.0</v>
      </c>
      <c r="Y80" s="8">
        <f t="shared" si="17"/>
        <v>0.0</v>
      </c>
      <c r="Z80" s="8">
        <f t="shared" si="17"/>
        <v>0.0</v>
      </c>
      <c r="AA80" s="8">
        <f t="shared" si="17"/>
        <v>0.0</v>
      </c>
      <c r="AB80" s="8">
        <f t="shared" si="17"/>
        <v>0.0</v>
      </c>
      <c r="AC80" s="8">
        <f t="shared" si="17"/>
        <v>0.0</v>
      </c>
      <c r="AD80" s="8">
        <f t="shared" si="17"/>
        <v>0.0</v>
      </c>
      <c r="AE80" s="8">
        <f t="shared" si="17"/>
        <v>0.0</v>
      </c>
      <c r="AF80" s="8">
        <f t="shared" si="17"/>
        <v>0.0</v>
      </c>
      <c r="AG80" s="8">
        <f t="shared" si="17"/>
        <v>0.0</v>
      </c>
      <c r="AH80" s="8">
        <f t="shared" si="17"/>
        <v>0.0</v>
      </c>
      <c r="AI80" s="8">
        <f t="shared" si="17"/>
        <v>0.0</v>
      </c>
      <c r="AJ80" s="8">
        <f t="shared" si="17"/>
        <v>0.0</v>
      </c>
      <c r="AK80" s="8">
        <f t="shared" si="17"/>
        <v>0.0</v>
      </c>
      <c r="AL80" s="8">
        <f t="shared" si="17"/>
        <v>0.0</v>
      </c>
      <c r="AM80" s="8">
        <f t="shared" si="17"/>
        <v>0.0</v>
      </c>
      <c r="AN80" s="8">
        <f t="shared" si="17"/>
        <v>0.0</v>
      </c>
      <c r="AO80" s="8">
        <f t="shared" si="17"/>
        <v>0.0</v>
      </c>
      <c r="AP80" s="8">
        <f t="shared" si="17"/>
        <v>0.0</v>
      </c>
      <c r="AQ80" s="8">
        <f t="shared" si="17"/>
        <v>0.0</v>
      </c>
      <c r="AR80" s="8">
        <f t="shared" si="17"/>
        <v>0.0</v>
      </c>
      <c r="AS80" s="8">
        <f t="shared" si="17"/>
        <v>0.0</v>
      </c>
      <c r="AT80" s="8">
        <f t="shared" si="17"/>
        <v>0.0</v>
      </c>
      <c r="AU80" s="8">
        <f t="shared" si="17"/>
        <v>0.0</v>
      </c>
      <c r="AV80" s="8">
        <f t="shared" si="17"/>
        <v>0.0</v>
      </c>
      <c r="AW80" s="8">
        <f t="shared" si="17"/>
        <v>0.0</v>
      </c>
      <c r="AX80" s="8">
        <f t="shared" si="17"/>
        <v>0.0</v>
      </c>
      <c r="AY80" s="8">
        <f t="shared" si="17"/>
        <v>0.0</v>
      </c>
      <c r="AZ80" s="8">
        <f t="shared" si="17"/>
        <v>0.0</v>
      </c>
      <c r="BA80" s="8">
        <f t="shared" si="17"/>
        <v>0.0</v>
      </c>
      <c r="BB80" s="8">
        <f t="shared" si="17"/>
        <v>0.0</v>
      </c>
      <c r="BC80" s="78">
        <f t="shared" si="17"/>
        <v>1724.04</v>
      </c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>
      <c r="A81" s="8"/>
      <c r="B81" s="39"/>
      <c r="C81" s="40"/>
      <c r="D81" s="41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31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>
      <c r="A82" s="8"/>
      <c r="B82" s="39"/>
      <c r="C82" s="40"/>
      <c r="D82" s="41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31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>
      <c r="A83" s="8"/>
      <c r="B83" s="39"/>
      <c r="C83" s="40"/>
      <c r="D83" s="41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31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>
      <c r="A84" s="8"/>
      <c r="B84" s="39"/>
      <c r="C84" s="40"/>
      <c r="D84" s="41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31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>
      <c r="A85" s="8"/>
      <c r="B85" s="39"/>
      <c r="C85" s="40"/>
      <c r="D85" s="41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31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>
      <c r="A86" s="8"/>
      <c r="B86" s="39"/>
      <c r="C86" s="40"/>
      <c r="D86" s="41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31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>
      <c r="A87" s="8"/>
      <c r="B87" s="39"/>
      <c r="C87" s="40"/>
      <c r="D87" s="41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31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>
      <c r="A88" s="8"/>
      <c r="B88" s="39"/>
      <c r="C88" s="40"/>
      <c r="D88" s="41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31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>
      <c r="A89" s="8"/>
      <c r="B89" s="39"/>
      <c r="C89" s="40"/>
      <c r="D89" s="41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31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</row>
    <row r="90">
      <c r="A90" s="8"/>
      <c r="B90" s="39"/>
      <c r="C90" s="40"/>
      <c r="D90" s="41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31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>
      <c r="A91" s="8"/>
      <c r="B91" s="39"/>
      <c r="C91" s="40"/>
      <c r="D91" s="41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31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>
      <c r="A92" s="8"/>
      <c r="B92" s="39"/>
      <c r="C92" s="40"/>
      <c r="D92" s="41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31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>
      <c r="A93" s="8"/>
      <c r="B93" s="39"/>
      <c r="C93" s="40"/>
      <c r="D93" s="41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31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>
      <c r="A94" s="8"/>
      <c r="B94" s="39"/>
      <c r="C94" s="40"/>
      <c r="D94" s="41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31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>
      <c r="A95" s="8"/>
      <c r="B95" s="39"/>
      <c r="C95" s="40"/>
      <c r="D95" s="41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31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>
      <c r="A96" s="8"/>
      <c r="B96" s="39"/>
      <c r="C96" s="40"/>
      <c r="D96" s="41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31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>
      <c r="A97" s="8"/>
      <c r="B97" s="39"/>
      <c r="C97" s="40"/>
      <c r="D97" s="41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31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>
      <c r="A98" s="8"/>
      <c r="B98" s="39"/>
      <c r="C98" s="40"/>
      <c r="D98" s="41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31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>
      <c r="A99" s="8"/>
      <c r="B99" s="39"/>
      <c r="C99" s="40"/>
      <c r="D99" s="41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31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>
      <c r="A100" s="8"/>
      <c r="B100" s="39"/>
      <c r="C100" s="40"/>
      <c r="D100" s="41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31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>
      <c r="A101" s="8"/>
      <c r="B101" s="39"/>
      <c r="C101" s="40"/>
      <c r="D101" s="41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31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>
      <c r="A102" s="8"/>
      <c r="B102" s="39"/>
      <c r="C102" s="40"/>
      <c r="D102" s="41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31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>
      <c r="A103" s="8"/>
      <c r="B103" s="39"/>
      <c r="C103" s="40"/>
      <c r="D103" s="41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31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>
      <c r="A104" s="8"/>
      <c r="B104" s="39"/>
      <c r="C104" s="40"/>
      <c r="D104" s="41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31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>
      <c r="A105" s="8"/>
      <c r="B105" s="39"/>
      <c r="C105" s="40"/>
      <c r="D105" s="41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31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>
      <c r="A106" s="8"/>
      <c r="B106" s="39"/>
      <c r="C106" s="40"/>
      <c r="D106" s="41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31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>
      <c r="A107" s="8"/>
      <c r="B107" s="39"/>
      <c r="C107" s="40"/>
      <c r="D107" s="41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31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>
      <c r="A108" s="8"/>
      <c r="B108" s="39"/>
      <c r="C108" s="40"/>
      <c r="D108" s="41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31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>
      <c r="A109" s="8"/>
      <c r="B109" s="39"/>
      <c r="C109" s="40"/>
      <c r="D109" s="41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31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>
      <c r="A110" s="8"/>
      <c r="B110" s="39"/>
      <c r="C110" s="40"/>
      <c r="D110" s="41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31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>
      <c r="A111" s="8"/>
      <c r="B111" s="39"/>
      <c r="C111" s="40"/>
      <c r="D111" s="41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31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>
      <c r="A112" s="8"/>
      <c r="B112" s="39"/>
      <c r="C112" s="40"/>
      <c r="D112" s="41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31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>
      <c r="A113" s="8"/>
      <c r="B113" s="39"/>
      <c r="C113" s="40"/>
      <c r="D113" s="41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31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>
      <c r="A114" s="8"/>
      <c r="B114" s="39"/>
      <c r="C114" s="40"/>
      <c r="D114" s="41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31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>
      <c r="A115" s="8"/>
      <c r="B115" s="39"/>
      <c r="C115" s="40"/>
      <c r="D115" s="41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31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>
      <c r="A116" s="8"/>
      <c r="B116" s="39"/>
      <c r="C116" s="40"/>
      <c r="D116" s="41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31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>
      <c r="A117" s="8"/>
      <c r="B117" s="39"/>
      <c r="C117" s="40"/>
      <c r="D117" s="41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31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>
      <c r="A118" s="8"/>
      <c r="B118" s="39"/>
      <c r="C118" s="40"/>
      <c r="D118" s="41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31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>
      <c r="A119" s="8"/>
      <c r="B119" s="39"/>
      <c r="C119" s="40"/>
      <c r="D119" s="41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31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>
      <c r="A120" s="8"/>
      <c r="B120" s="39"/>
      <c r="C120" s="40"/>
      <c r="D120" s="41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31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>
      <c r="A121" s="8"/>
      <c r="B121" s="39"/>
      <c r="C121" s="40"/>
      <c r="D121" s="41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31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>
      <c r="A122" s="8"/>
      <c r="B122" s="39"/>
      <c r="C122" s="40"/>
      <c r="D122" s="41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31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>
      <c r="A123" s="8"/>
      <c r="B123" s="39"/>
      <c r="C123" s="40"/>
      <c r="D123" s="4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31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>
      <c r="A124" s="8"/>
      <c r="B124" s="39"/>
      <c r="C124" s="40"/>
      <c r="D124" s="4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31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>
      <c r="A125" s="8"/>
      <c r="B125" s="39"/>
      <c r="C125" s="40"/>
      <c r="D125" s="4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31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>
      <c r="A126" s="8"/>
      <c r="B126" s="39"/>
      <c r="C126" s="40"/>
      <c r="D126" s="4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31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>
      <c r="A127" s="8"/>
      <c r="B127" s="39"/>
      <c r="C127" s="40"/>
      <c r="D127" s="41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31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>
      <c r="A128" s="8"/>
      <c r="B128" s="39"/>
      <c r="C128" s="40"/>
      <c r="D128" s="41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31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>
      <c r="A129" s="8"/>
      <c r="B129" s="39"/>
      <c r="C129" s="40"/>
      <c r="D129" s="41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31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>
      <c r="A130" s="8"/>
      <c r="B130" s="39"/>
      <c r="C130" s="40"/>
      <c r="D130" s="41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31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>
      <c r="A131" s="8"/>
      <c r="B131" s="39"/>
      <c r="C131" s="40"/>
      <c r="D131" s="41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31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>
      <c r="A132" s="8"/>
      <c r="B132" s="39"/>
      <c r="C132" s="40"/>
      <c r="D132" s="41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31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>
      <c r="A133" s="8"/>
      <c r="B133" s="39"/>
      <c r="C133" s="40"/>
      <c r="D133" s="41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31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>
      <c r="A134" s="8"/>
      <c r="B134" s="39"/>
      <c r="C134" s="40"/>
      <c r="D134" s="41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31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>
      <c r="A135" s="8"/>
      <c r="B135" s="39"/>
      <c r="C135" s="40"/>
      <c r="D135" s="41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31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>
      <c r="A136" s="8"/>
      <c r="B136" s="39"/>
      <c r="C136" s="40"/>
      <c r="D136" s="41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31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>
      <c r="A137" s="8"/>
      <c r="B137" s="39"/>
      <c r="C137" s="40"/>
      <c r="D137" s="41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31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>
      <c r="A138" s="8"/>
      <c r="B138" s="39"/>
      <c r="C138" s="40"/>
      <c r="D138" s="41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31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>
      <c r="A139" s="8"/>
      <c r="B139" s="39"/>
      <c r="C139" s="40"/>
      <c r="D139" s="41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31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>
      <c r="A140" s="8"/>
      <c r="B140" s="39"/>
      <c r="C140" s="40"/>
      <c r="D140" s="41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31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>
      <c r="A141" s="8"/>
      <c r="B141" s="39"/>
      <c r="C141" s="40"/>
      <c r="D141" s="41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31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>
      <c r="A142" s="8"/>
      <c r="B142" s="39"/>
      <c r="C142" s="40"/>
      <c r="D142" s="41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31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>
      <c r="A143" s="8"/>
      <c r="B143" s="39"/>
      <c r="C143" s="40"/>
      <c r="D143" s="41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31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>
      <c r="A144" s="8"/>
      <c r="B144" s="39"/>
      <c r="C144" s="40"/>
      <c r="D144" s="41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31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>
      <c r="A145" s="8"/>
      <c r="B145" s="39"/>
      <c r="C145" s="40"/>
      <c r="D145" s="41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31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>
      <c r="A146" s="8"/>
      <c r="B146" s="39"/>
      <c r="C146" s="40"/>
      <c r="D146" s="41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31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>
      <c r="A147" s="8"/>
      <c r="B147" s="39"/>
      <c r="C147" s="40"/>
      <c r="D147" s="41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31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>
      <c r="A148" s="8"/>
      <c r="B148" s="39"/>
      <c r="C148" s="40"/>
      <c r="D148" s="41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31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>
      <c r="A149" s="8"/>
      <c r="B149" s="39"/>
      <c r="C149" s="40"/>
      <c r="D149" s="41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31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>
      <c r="A150" s="8"/>
      <c r="B150" s="39"/>
      <c r="C150" s="40"/>
      <c r="D150" s="41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31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>
      <c r="A151" s="8"/>
      <c r="B151" s="39"/>
      <c r="C151" s="40"/>
      <c r="D151" s="41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31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>
      <c r="A152" s="8"/>
      <c r="B152" s="39"/>
      <c r="C152" s="40"/>
      <c r="D152" s="41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31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>
      <c r="A153" s="8"/>
      <c r="B153" s="39"/>
      <c r="C153" s="40"/>
      <c r="D153" s="41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31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>
      <c r="A154" s="8"/>
      <c r="B154" s="39"/>
      <c r="C154" s="40"/>
      <c r="D154" s="41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31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>
      <c r="A155" s="8"/>
      <c r="B155" s="39"/>
      <c r="C155" s="40"/>
      <c r="D155" s="41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31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>
      <c r="A156" s="8"/>
      <c r="B156" s="39"/>
      <c r="C156" s="40"/>
      <c r="D156" s="41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31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>
      <c r="A157" s="8"/>
      <c r="B157" s="39"/>
      <c r="C157" s="40"/>
      <c r="D157" s="41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31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>
      <c r="A158" s="8"/>
      <c r="B158" s="39"/>
      <c r="C158" s="40"/>
      <c r="D158" s="41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31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>
      <c r="A159" s="8"/>
      <c r="B159" s="39"/>
      <c r="C159" s="40"/>
      <c r="D159" s="41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31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>
      <c r="A160" s="8"/>
      <c r="B160" s="39"/>
      <c r="C160" s="40"/>
      <c r="D160" s="41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31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>
      <c r="A161" s="8"/>
      <c r="B161" s="39"/>
      <c r="C161" s="40"/>
      <c r="D161" s="41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31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>
      <c r="A162" s="8"/>
      <c r="B162" s="39"/>
      <c r="C162" s="40"/>
      <c r="D162" s="41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31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>
      <c r="A163" s="8"/>
      <c r="B163" s="39"/>
      <c r="C163" s="40"/>
      <c r="D163" s="41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31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>
      <c r="A164" s="8"/>
      <c r="B164" s="39"/>
      <c r="C164" s="40"/>
      <c r="D164" s="41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31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>
      <c r="A165" s="8"/>
      <c r="B165" s="39"/>
      <c r="C165" s="40"/>
      <c r="D165" s="41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31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>
      <c r="A166" s="8"/>
      <c r="B166" s="39"/>
      <c r="C166" s="40"/>
      <c r="D166" s="41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31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>
      <c r="A167" s="8"/>
      <c r="B167" s="39"/>
      <c r="C167" s="40"/>
      <c r="D167" s="41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31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>
      <c r="A168" s="8"/>
      <c r="B168" s="39"/>
      <c r="C168" s="40"/>
      <c r="D168" s="41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31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</row>
    <row r="169">
      <c r="A169" s="8"/>
      <c r="B169" s="39"/>
      <c r="C169" s="40"/>
      <c r="D169" s="41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31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>
      <c r="A170" s="8"/>
      <c r="B170" s="39"/>
      <c r="C170" s="40"/>
      <c r="D170" s="41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31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>
      <c r="A171" s="8"/>
      <c r="B171" s="39"/>
      <c r="C171" s="40"/>
      <c r="D171" s="41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31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>
      <c r="A172" s="8"/>
      <c r="B172" s="39"/>
      <c r="C172" s="40"/>
      <c r="D172" s="41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31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>
      <c r="A173" s="8"/>
      <c r="B173" s="39"/>
      <c r="C173" s="40"/>
      <c r="D173" s="41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31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>
      <c r="A174" s="8"/>
      <c r="B174" s="39"/>
      <c r="C174" s="40"/>
      <c r="D174" s="41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31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>
      <c r="A175" s="8"/>
      <c r="B175" s="39"/>
      <c r="C175" s="40"/>
      <c r="D175" s="41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31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>
      <c r="A176" s="8"/>
      <c r="B176" s="39"/>
      <c r="C176" s="40"/>
      <c r="D176" s="41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31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>
      <c r="A177" s="8"/>
      <c r="B177" s="39"/>
      <c r="C177" s="40"/>
      <c r="D177" s="41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31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>
      <c r="A178" s="8"/>
      <c r="B178" s="39"/>
      <c r="C178" s="40"/>
      <c r="D178" s="41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31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>
      <c r="A179" s="8"/>
      <c r="B179" s="39"/>
      <c r="C179" s="40"/>
      <c r="D179" s="41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31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>
      <c r="A180" s="8"/>
      <c r="B180" s="39"/>
      <c r="C180" s="40"/>
      <c r="D180" s="41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31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>
      <c r="A181" s="8"/>
      <c r="B181" s="39"/>
      <c r="C181" s="40"/>
      <c r="D181" s="41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31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>
      <c r="A182" s="8"/>
      <c r="B182" s="39"/>
      <c r="C182" s="40"/>
      <c r="D182" s="41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31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>
      <c r="A183" s="8"/>
      <c r="B183" s="39"/>
      <c r="C183" s="40"/>
      <c r="D183" s="41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31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>
      <c r="A184" s="8"/>
      <c r="B184" s="39"/>
      <c r="C184" s="40"/>
      <c r="D184" s="41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31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>
      <c r="A185" s="8"/>
      <c r="B185" s="39"/>
      <c r="C185" s="40"/>
      <c r="D185" s="41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31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>
      <c r="A186" s="8"/>
      <c r="B186" s="39"/>
      <c r="C186" s="40"/>
      <c r="D186" s="41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31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>
      <c r="A187" s="8"/>
      <c r="B187" s="39"/>
      <c r="C187" s="40"/>
      <c r="D187" s="41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31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>
      <c r="A188" s="8"/>
      <c r="B188" s="39"/>
      <c r="C188" s="40"/>
      <c r="D188" s="41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31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>
      <c r="A189" s="8"/>
      <c r="B189" s="39"/>
      <c r="C189" s="40"/>
      <c r="D189" s="41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31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>
      <c r="A190" s="8"/>
      <c r="B190" s="39"/>
      <c r="C190" s="40"/>
      <c r="D190" s="41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31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>
      <c r="A191" s="8"/>
      <c r="B191" s="39"/>
      <c r="C191" s="40"/>
      <c r="D191" s="41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31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>
      <c r="A192" s="8"/>
      <c r="B192" s="39"/>
      <c r="C192" s="40"/>
      <c r="D192" s="41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31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>
      <c r="A193" s="8"/>
      <c r="B193" s="39"/>
      <c r="C193" s="40"/>
      <c r="D193" s="41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31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>
      <c r="A194" s="8"/>
      <c r="B194" s="39"/>
      <c r="C194" s="40"/>
      <c r="D194" s="41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31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>
      <c r="A195" s="8"/>
      <c r="B195" s="39"/>
      <c r="C195" s="40"/>
      <c r="D195" s="41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31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>
      <c r="A196" s="8"/>
      <c r="B196" s="39"/>
      <c r="C196" s="40"/>
      <c r="D196" s="41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31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</row>
    <row r="197">
      <c r="A197" s="8"/>
      <c r="B197" s="39"/>
      <c r="C197" s="40"/>
      <c r="D197" s="41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31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>
      <c r="A198" s="8"/>
      <c r="B198" s="39"/>
      <c r="C198" s="40"/>
      <c r="D198" s="41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31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</row>
    <row r="199">
      <c r="A199" s="8"/>
      <c r="B199" s="39"/>
      <c r="C199" s="40"/>
      <c r="D199" s="41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31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>
      <c r="A200" s="8"/>
      <c r="B200" s="39"/>
      <c r="C200" s="40"/>
      <c r="D200" s="41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31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>
      <c r="A201" s="8"/>
      <c r="B201" s="39"/>
      <c r="C201" s="40"/>
      <c r="D201" s="41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31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>
      <c r="A202" s="8"/>
      <c r="B202" s="39"/>
      <c r="C202" s="40"/>
      <c r="D202" s="41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31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>
      <c r="A203" s="8"/>
      <c r="B203" s="39"/>
      <c r="C203" s="40"/>
      <c r="D203" s="41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31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>
      <c r="A204" s="8"/>
      <c r="B204" s="39"/>
      <c r="C204" s="40"/>
      <c r="D204" s="41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31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>
      <c r="A205" s="8"/>
      <c r="B205" s="39"/>
      <c r="C205" s="40"/>
      <c r="D205" s="41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31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>
      <c r="A206" s="8"/>
      <c r="B206" s="39"/>
      <c r="C206" s="40"/>
      <c r="D206" s="41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31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  <row r="207">
      <c r="A207" s="8"/>
      <c r="B207" s="39"/>
      <c r="C207" s="40"/>
      <c r="D207" s="41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31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</row>
    <row r="208">
      <c r="A208" s="8"/>
      <c r="B208" s="39"/>
      <c r="C208" s="40"/>
      <c r="D208" s="41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31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</row>
    <row r="209">
      <c r="A209" s="8"/>
      <c r="B209" s="39"/>
      <c r="C209" s="40"/>
      <c r="D209" s="41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31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</row>
    <row r="210">
      <c r="A210" s="8"/>
      <c r="B210" s="39"/>
      <c r="C210" s="40"/>
      <c r="D210" s="41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31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</row>
    <row r="211">
      <c r="A211" s="8"/>
      <c r="B211" s="39"/>
      <c r="C211" s="40"/>
      <c r="D211" s="41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31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</row>
    <row r="212">
      <c r="A212" s="8"/>
      <c r="B212" s="39"/>
      <c r="C212" s="40"/>
      <c r="D212" s="41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31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</row>
    <row r="213">
      <c r="A213" s="8"/>
      <c r="B213" s="39"/>
      <c r="C213" s="40"/>
      <c r="D213" s="41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31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</row>
    <row r="214">
      <c r="A214" s="8"/>
      <c r="B214" s="39"/>
      <c r="C214" s="40"/>
      <c r="D214" s="41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31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</row>
    <row r="215">
      <c r="A215" s="8"/>
      <c r="B215" s="39"/>
      <c r="C215" s="40"/>
      <c r="D215" s="41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31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</row>
    <row r="216">
      <c r="A216" s="8"/>
      <c r="B216" s="39"/>
      <c r="C216" s="40"/>
      <c r="D216" s="41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31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</row>
    <row r="217">
      <c r="A217" s="8"/>
      <c r="B217" s="39"/>
      <c r="C217" s="40"/>
      <c r="D217" s="41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31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</row>
    <row r="218">
      <c r="A218" s="8"/>
      <c r="B218" s="39"/>
      <c r="C218" s="40"/>
      <c r="D218" s="41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31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</row>
    <row r="219">
      <c r="A219" s="8"/>
      <c r="B219" s="39"/>
      <c r="C219" s="40"/>
      <c r="D219" s="41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31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</row>
    <row r="220">
      <c r="A220" s="8"/>
      <c r="B220" s="39"/>
      <c r="C220" s="40"/>
      <c r="D220" s="41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31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</row>
    <row r="221">
      <c r="A221" s="8"/>
      <c r="B221" s="39"/>
      <c r="C221" s="40"/>
      <c r="D221" s="41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31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</row>
    <row r="222">
      <c r="A222" s="8"/>
      <c r="B222" s="39"/>
      <c r="C222" s="40"/>
      <c r="D222" s="41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31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</row>
    <row r="223">
      <c r="A223" s="8"/>
      <c r="B223" s="39"/>
      <c r="C223" s="40"/>
      <c r="D223" s="41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31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</row>
    <row r="224">
      <c r="A224" s="8"/>
      <c r="B224" s="39"/>
      <c r="C224" s="40"/>
      <c r="D224" s="41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31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</row>
    <row r="225">
      <c r="A225" s="8"/>
      <c r="B225" s="39"/>
      <c r="C225" s="40"/>
      <c r="D225" s="41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31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</row>
    <row r="226">
      <c r="A226" s="8"/>
      <c r="B226" s="39"/>
      <c r="C226" s="40"/>
      <c r="D226" s="41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31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</row>
    <row r="227">
      <c r="A227" s="8"/>
      <c r="B227" s="39"/>
      <c r="C227" s="40"/>
      <c r="D227" s="41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31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</row>
    <row r="228">
      <c r="A228" s="8"/>
      <c r="B228" s="39"/>
      <c r="C228" s="40"/>
      <c r="D228" s="41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31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</row>
    <row r="229">
      <c r="A229" s="8"/>
      <c r="B229" s="39"/>
      <c r="C229" s="40"/>
      <c r="D229" s="41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31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</row>
    <row r="230">
      <c r="A230" s="8"/>
      <c r="B230" s="39"/>
      <c r="C230" s="40"/>
      <c r="D230" s="41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31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</row>
    <row r="231">
      <c r="A231" s="8"/>
      <c r="B231" s="39"/>
      <c r="C231" s="40"/>
      <c r="D231" s="41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31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</row>
    <row r="232">
      <c r="A232" s="8"/>
      <c r="B232" s="39"/>
      <c r="C232" s="40"/>
      <c r="D232" s="41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31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</row>
    <row r="233">
      <c r="A233" s="8"/>
      <c r="B233" s="39"/>
      <c r="C233" s="40"/>
      <c r="D233" s="41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31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</row>
    <row r="234">
      <c r="A234" s="8"/>
      <c r="B234" s="39"/>
      <c r="C234" s="40"/>
      <c r="D234" s="41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31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</row>
    <row r="235">
      <c r="A235" s="8"/>
      <c r="B235" s="39"/>
      <c r="C235" s="40"/>
      <c r="D235" s="41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31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</row>
    <row r="236">
      <c r="A236" s="8"/>
      <c r="B236" s="39"/>
      <c r="C236" s="40"/>
      <c r="D236" s="41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31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</row>
    <row r="237">
      <c r="A237" s="8"/>
      <c r="B237" s="39"/>
      <c r="C237" s="40"/>
      <c r="D237" s="41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31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</row>
    <row r="238">
      <c r="A238" s="8"/>
      <c r="B238" s="39"/>
      <c r="C238" s="40"/>
      <c r="D238" s="41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31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</row>
    <row r="239">
      <c r="A239" s="8"/>
      <c r="B239" s="39"/>
      <c r="C239" s="40"/>
      <c r="D239" s="41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31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</row>
    <row r="240">
      <c r="A240" s="8"/>
      <c r="B240" s="39"/>
      <c r="C240" s="40"/>
      <c r="D240" s="41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31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</row>
    <row r="241">
      <c r="A241" s="8"/>
      <c r="B241" s="39"/>
      <c r="C241" s="40"/>
      <c r="D241" s="41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31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</row>
    <row r="242">
      <c r="A242" s="8"/>
      <c r="B242" s="39"/>
      <c r="C242" s="40"/>
      <c r="D242" s="41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31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</row>
    <row r="243">
      <c r="A243" s="8"/>
      <c r="B243" s="39"/>
      <c r="C243" s="40"/>
      <c r="D243" s="41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31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</row>
    <row r="244">
      <c r="A244" s="8"/>
      <c r="B244" s="39"/>
      <c r="C244" s="40"/>
      <c r="D244" s="41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31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</row>
    <row r="245">
      <c r="A245" s="8"/>
      <c r="B245" s="39"/>
      <c r="C245" s="40"/>
      <c r="D245" s="41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31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</row>
    <row r="246">
      <c r="A246" s="8"/>
      <c r="B246" s="39"/>
      <c r="C246" s="40"/>
      <c r="D246" s="41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31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</row>
    <row r="247">
      <c r="A247" s="8"/>
      <c r="B247" s="39"/>
      <c r="C247" s="40"/>
      <c r="D247" s="41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31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</row>
    <row r="248">
      <c r="A248" s="8"/>
      <c r="B248" s="39"/>
      <c r="C248" s="40"/>
      <c r="D248" s="41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31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</row>
    <row r="249">
      <c r="A249" s="8"/>
      <c r="B249" s="39"/>
      <c r="C249" s="40"/>
      <c r="D249" s="41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31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</row>
    <row r="250">
      <c r="A250" s="8"/>
      <c r="B250" s="39"/>
      <c r="C250" s="40"/>
      <c r="D250" s="41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31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</row>
    <row r="251">
      <c r="A251" s="8"/>
      <c r="B251" s="39"/>
      <c r="C251" s="40"/>
      <c r="D251" s="41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31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</row>
    <row r="252">
      <c r="A252" s="8"/>
      <c r="B252" s="39"/>
      <c r="C252" s="40"/>
      <c r="D252" s="41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31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</row>
    <row r="253">
      <c r="A253" s="8"/>
      <c r="B253" s="39"/>
      <c r="C253" s="40"/>
      <c r="D253" s="41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31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</row>
    <row r="254">
      <c r="A254" s="8"/>
      <c r="B254" s="39"/>
      <c r="C254" s="40"/>
      <c r="D254" s="41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31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</row>
    <row r="255">
      <c r="A255" s="8"/>
      <c r="B255" s="39"/>
      <c r="C255" s="40"/>
      <c r="D255" s="41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31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</row>
    <row r="256">
      <c r="A256" s="8"/>
      <c r="B256" s="39"/>
      <c r="C256" s="40"/>
      <c r="D256" s="41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31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</row>
    <row r="257">
      <c r="A257" s="8"/>
      <c r="B257" s="39"/>
      <c r="C257" s="40"/>
      <c r="D257" s="41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31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</row>
    <row r="258">
      <c r="A258" s="8"/>
      <c r="B258" s="39"/>
      <c r="C258" s="40"/>
      <c r="D258" s="41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31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</row>
    <row r="259">
      <c r="A259" s="8"/>
      <c r="B259" s="39"/>
      <c r="C259" s="40"/>
      <c r="D259" s="41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31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</row>
    <row r="260">
      <c r="A260" s="8"/>
      <c r="B260" s="39"/>
      <c r="C260" s="40"/>
      <c r="D260" s="41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31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</row>
    <row r="261">
      <c r="A261" s="8"/>
      <c r="B261" s="39"/>
      <c r="C261" s="40"/>
      <c r="D261" s="41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31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</row>
    <row r="262">
      <c r="A262" s="8"/>
      <c r="B262" s="39"/>
      <c r="C262" s="40"/>
      <c r="D262" s="41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31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</row>
    <row r="263">
      <c r="A263" s="8"/>
      <c r="B263" s="39"/>
      <c r="C263" s="40"/>
      <c r="D263" s="41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31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</row>
    <row r="264">
      <c r="A264" s="8"/>
      <c r="B264" s="39"/>
      <c r="C264" s="40"/>
      <c r="D264" s="41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31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</row>
    <row r="265">
      <c r="A265" s="8"/>
      <c r="B265" s="39"/>
      <c r="C265" s="40"/>
      <c r="D265" s="41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31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</row>
    <row r="266">
      <c r="A266" s="8"/>
      <c r="B266" s="39"/>
      <c r="C266" s="40"/>
      <c r="D266" s="41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31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</row>
    <row r="267">
      <c r="A267" s="8"/>
      <c r="B267" s="39"/>
      <c r="C267" s="40"/>
      <c r="D267" s="41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31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</row>
    <row r="268">
      <c r="A268" s="8"/>
      <c r="B268" s="39"/>
      <c r="C268" s="40"/>
      <c r="D268" s="41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31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</row>
    <row r="269">
      <c r="A269" s="8"/>
      <c r="B269" s="39"/>
      <c r="C269" s="40"/>
      <c r="D269" s="41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31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</row>
    <row r="270">
      <c r="A270" s="8"/>
      <c r="B270" s="39"/>
      <c r="C270" s="40"/>
      <c r="D270" s="41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31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</row>
    <row r="271">
      <c r="A271" s="8"/>
      <c r="B271" s="39"/>
      <c r="C271" s="40"/>
      <c r="D271" s="41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31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</row>
    <row r="272">
      <c r="A272" s="8"/>
      <c r="B272" s="39"/>
      <c r="C272" s="40"/>
      <c r="D272" s="41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31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</row>
    <row r="273">
      <c r="A273" s="8"/>
      <c r="B273" s="39"/>
      <c r="C273" s="40"/>
      <c r="D273" s="41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31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</row>
    <row r="274">
      <c r="A274" s="8"/>
      <c r="B274" s="39"/>
      <c r="C274" s="40"/>
      <c r="D274" s="41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31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</row>
    <row r="275">
      <c r="A275" s="8"/>
      <c r="B275" s="39"/>
      <c r="C275" s="40"/>
      <c r="D275" s="41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31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</row>
    <row r="276">
      <c r="A276" s="8"/>
      <c r="B276" s="39"/>
      <c r="C276" s="40"/>
      <c r="D276" s="41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31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</row>
    <row r="277">
      <c r="A277" s="8"/>
      <c r="B277" s="39"/>
      <c r="C277" s="40"/>
      <c r="D277" s="41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31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</row>
    <row r="278">
      <c r="A278" s="8"/>
      <c r="B278" s="39"/>
      <c r="C278" s="40"/>
      <c r="D278" s="41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31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</row>
    <row r="279">
      <c r="A279" s="8"/>
      <c r="B279" s="39"/>
      <c r="C279" s="40"/>
      <c r="D279" s="41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31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</row>
    <row r="280">
      <c r="A280" s="8"/>
      <c r="B280" s="39"/>
      <c r="C280" s="40"/>
      <c r="D280" s="41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31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</row>
    <row r="281">
      <c r="A281" s="8"/>
      <c r="B281" s="39"/>
      <c r="C281" s="40"/>
      <c r="D281" s="41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31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</row>
    <row r="282">
      <c r="A282" s="8"/>
      <c r="B282" s="39"/>
      <c r="C282" s="40"/>
      <c r="D282" s="41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31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</row>
    <row r="283">
      <c r="A283" s="8"/>
      <c r="B283" s="39"/>
      <c r="C283" s="40"/>
      <c r="D283" s="41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31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</row>
    <row r="284">
      <c r="A284" s="8"/>
      <c r="B284" s="39"/>
      <c r="C284" s="40"/>
      <c r="D284" s="41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31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</row>
    <row r="285">
      <c r="A285" s="8"/>
      <c r="B285" s="39"/>
      <c r="C285" s="40"/>
      <c r="D285" s="41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31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</row>
    <row r="286">
      <c r="A286" s="8"/>
      <c r="B286" s="39"/>
      <c r="C286" s="40"/>
      <c r="D286" s="41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31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</row>
    <row r="287">
      <c r="A287" s="8"/>
      <c r="B287" s="39"/>
      <c r="C287" s="40"/>
      <c r="D287" s="41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31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</row>
    <row r="288">
      <c r="A288" s="8"/>
      <c r="B288" s="39"/>
      <c r="C288" s="40"/>
      <c r="D288" s="41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31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</row>
    <row r="289">
      <c r="A289" s="8"/>
      <c r="B289" s="39"/>
      <c r="C289" s="40"/>
      <c r="D289" s="41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31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</row>
    <row r="290">
      <c r="A290" s="8"/>
      <c r="B290" s="39"/>
      <c r="C290" s="40"/>
      <c r="D290" s="41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31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</row>
    <row r="291">
      <c r="A291" s="8"/>
      <c r="B291" s="39"/>
      <c r="C291" s="40"/>
      <c r="D291" s="41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31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</row>
    <row r="292">
      <c r="A292" s="8"/>
      <c r="B292" s="39"/>
      <c r="C292" s="40"/>
      <c r="D292" s="41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31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</row>
    <row r="293">
      <c r="A293" s="8"/>
      <c r="B293" s="39"/>
      <c r="C293" s="40"/>
      <c r="D293" s="41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31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</row>
    <row r="294">
      <c r="A294" s="8"/>
      <c r="B294" s="39"/>
      <c r="C294" s="40"/>
      <c r="D294" s="41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31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</row>
    <row r="295">
      <c r="A295" s="8"/>
      <c r="B295" s="39"/>
      <c r="C295" s="40"/>
      <c r="D295" s="41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31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</row>
    <row r="296">
      <c r="A296" s="8"/>
      <c r="B296" s="39"/>
      <c r="C296" s="40"/>
      <c r="D296" s="41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31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</row>
    <row r="297">
      <c r="A297" s="8"/>
      <c r="B297" s="39"/>
      <c r="C297" s="40"/>
      <c r="D297" s="41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31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</row>
    <row r="298">
      <c r="A298" s="8"/>
      <c r="B298" s="39"/>
      <c r="C298" s="40"/>
      <c r="D298" s="41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31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</row>
    <row r="299">
      <c r="A299" s="8"/>
      <c r="B299" s="39"/>
      <c r="C299" s="40"/>
      <c r="D299" s="41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31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</row>
    <row r="300">
      <c r="A300" s="8"/>
      <c r="B300" s="39"/>
      <c r="C300" s="40"/>
      <c r="D300" s="41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31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</row>
    <row r="301">
      <c r="A301" s="8"/>
      <c r="B301" s="39"/>
      <c r="C301" s="40"/>
      <c r="D301" s="41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31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</row>
    <row r="302">
      <c r="A302" s="8"/>
      <c r="B302" s="39"/>
      <c r="C302" s="40"/>
      <c r="D302" s="41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31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</row>
    <row r="303">
      <c r="A303" s="8"/>
      <c r="B303" s="39"/>
      <c r="C303" s="40"/>
      <c r="D303" s="41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31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</row>
    <row r="304">
      <c r="A304" s="8"/>
      <c r="B304" s="39"/>
      <c r="C304" s="40"/>
      <c r="D304" s="41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31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</row>
    <row r="305">
      <c r="A305" s="8"/>
      <c r="B305" s="39"/>
      <c r="C305" s="40"/>
      <c r="D305" s="41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31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</row>
    <row r="306">
      <c r="A306" s="8"/>
      <c r="B306" s="39"/>
      <c r="C306" s="40"/>
      <c r="D306" s="41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31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</row>
    <row r="307">
      <c r="A307" s="8"/>
      <c r="B307" s="39"/>
      <c r="C307" s="40"/>
      <c r="D307" s="41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31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</row>
    <row r="308">
      <c r="A308" s="8"/>
      <c r="B308" s="39"/>
      <c r="C308" s="40"/>
      <c r="D308" s="41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31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</row>
    <row r="309">
      <c r="A309" s="8"/>
      <c r="B309" s="39"/>
      <c r="C309" s="40"/>
      <c r="D309" s="41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31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</row>
    <row r="310">
      <c r="A310" s="8"/>
      <c r="B310" s="39"/>
      <c r="C310" s="40"/>
      <c r="D310" s="41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31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</row>
    <row r="311">
      <c r="A311" s="8"/>
      <c r="B311" s="39"/>
      <c r="C311" s="40"/>
      <c r="D311" s="41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31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</row>
    <row r="312">
      <c r="A312" s="8"/>
      <c r="B312" s="39"/>
      <c r="C312" s="40"/>
      <c r="D312" s="41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31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</row>
    <row r="313">
      <c r="A313" s="8"/>
      <c r="B313" s="39"/>
      <c r="C313" s="40"/>
      <c r="D313" s="41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31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</row>
    <row r="314">
      <c r="A314" s="8"/>
      <c r="B314" s="39"/>
      <c r="C314" s="40"/>
      <c r="D314" s="41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31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</row>
    <row r="315">
      <c r="A315" s="8"/>
      <c r="B315" s="39"/>
      <c r="C315" s="40"/>
      <c r="D315" s="41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31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</row>
    <row r="316">
      <c r="A316" s="8"/>
      <c r="B316" s="39"/>
      <c r="C316" s="40"/>
      <c r="D316" s="41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31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</row>
    <row r="317">
      <c r="A317" s="8"/>
      <c r="B317" s="39"/>
      <c r="C317" s="40"/>
      <c r="D317" s="41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31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</row>
    <row r="318">
      <c r="A318" s="8"/>
      <c r="B318" s="39"/>
      <c r="C318" s="40"/>
      <c r="D318" s="41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31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</row>
    <row r="319">
      <c r="A319" s="8"/>
      <c r="B319" s="39"/>
      <c r="C319" s="40"/>
      <c r="D319" s="41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31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</row>
    <row r="320">
      <c r="A320" s="8"/>
      <c r="B320" s="39"/>
      <c r="C320" s="40"/>
      <c r="D320" s="41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31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</row>
    <row r="321">
      <c r="A321" s="8"/>
      <c r="B321" s="39"/>
      <c r="C321" s="40"/>
      <c r="D321" s="41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31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</row>
    <row r="322">
      <c r="A322" s="8"/>
      <c r="B322" s="39"/>
      <c r="C322" s="40"/>
      <c r="D322" s="41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31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</row>
    <row r="323">
      <c r="A323" s="8"/>
      <c r="B323" s="39"/>
      <c r="C323" s="40"/>
      <c r="D323" s="41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31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</row>
    <row r="324">
      <c r="A324" s="8"/>
      <c r="B324" s="39"/>
      <c r="C324" s="40"/>
      <c r="D324" s="41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31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</row>
    <row r="325">
      <c r="A325" s="8"/>
      <c r="B325" s="39"/>
      <c r="C325" s="40"/>
      <c r="D325" s="41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31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</row>
    <row r="326">
      <c r="A326" s="8"/>
      <c r="B326" s="39"/>
      <c r="C326" s="40"/>
      <c r="D326" s="41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31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</row>
    <row r="327">
      <c r="A327" s="8"/>
      <c r="B327" s="39"/>
      <c r="C327" s="40"/>
      <c r="D327" s="41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31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</row>
    <row r="328">
      <c r="A328" s="8"/>
      <c r="B328" s="39"/>
      <c r="C328" s="40"/>
      <c r="D328" s="41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31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</row>
    <row r="329">
      <c r="A329" s="8"/>
      <c r="B329" s="39"/>
      <c r="C329" s="40"/>
      <c r="D329" s="41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31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</row>
    <row r="330">
      <c r="A330" s="8"/>
      <c r="B330" s="39"/>
      <c r="C330" s="40"/>
      <c r="D330" s="41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31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</row>
    <row r="331">
      <c r="A331" s="8"/>
      <c r="B331" s="39"/>
      <c r="C331" s="40"/>
      <c r="D331" s="41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31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</row>
    <row r="332">
      <c r="A332" s="8"/>
      <c r="B332" s="39"/>
      <c r="C332" s="40"/>
      <c r="D332" s="41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31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</row>
    <row r="333">
      <c r="A333" s="8"/>
      <c r="B333" s="39"/>
      <c r="C333" s="40"/>
      <c r="D333" s="41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31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</row>
    <row r="334">
      <c r="A334" s="8"/>
      <c r="B334" s="39"/>
      <c r="C334" s="40"/>
      <c r="D334" s="41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31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</row>
    <row r="335">
      <c r="A335" s="8"/>
      <c r="B335" s="39"/>
      <c r="C335" s="40"/>
      <c r="D335" s="41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31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</row>
    <row r="336">
      <c r="A336" s="8"/>
      <c r="B336" s="39"/>
      <c r="C336" s="40"/>
      <c r="D336" s="41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31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</row>
    <row r="337">
      <c r="A337" s="8"/>
      <c r="B337" s="39"/>
      <c r="C337" s="40"/>
      <c r="D337" s="41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31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</row>
    <row r="338">
      <c r="A338" s="8"/>
      <c r="B338" s="39"/>
      <c r="C338" s="40"/>
      <c r="D338" s="41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31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</row>
    <row r="339">
      <c r="A339" s="8"/>
      <c r="B339" s="39"/>
      <c r="C339" s="40"/>
      <c r="D339" s="41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31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</row>
    <row r="340">
      <c r="A340" s="8"/>
      <c r="B340" s="39"/>
      <c r="C340" s="40"/>
      <c r="D340" s="41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31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</row>
    <row r="341">
      <c r="A341" s="8"/>
      <c r="B341" s="39"/>
      <c r="C341" s="40"/>
      <c r="D341" s="41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31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</row>
    <row r="342">
      <c r="A342" s="8"/>
      <c r="B342" s="39"/>
      <c r="C342" s="40"/>
      <c r="D342" s="41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31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</row>
    <row r="343">
      <c r="A343" s="8"/>
      <c r="B343" s="39"/>
      <c r="C343" s="40"/>
      <c r="D343" s="41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31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</row>
    <row r="344">
      <c r="A344" s="8"/>
      <c r="B344" s="39"/>
      <c r="C344" s="40"/>
      <c r="D344" s="41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31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</row>
    <row r="345">
      <c r="A345" s="8"/>
      <c r="B345" s="39"/>
      <c r="C345" s="40"/>
      <c r="D345" s="41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31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</row>
    <row r="346">
      <c r="A346" s="8"/>
      <c r="B346" s="39"/>
      <c r="C346" s="40"/>
      <c r="D346" s="41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31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</row>
    <row r="347">
      <c r="A347" s="8"/>
      <c r="B347" s="39"/>
      <c r="C347" s="40"/>
      <c r="D347" s="41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31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</row>
    <row r="348">
      <c r="A348" s="8"/>
      <c r="B348" s="39"/>
      <c r="C348" s="40"/>
      <c r="D348" s="41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31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</row>
    <row r="349">
      <c r="A349" s="8"/>
      <c r="B349" s="39"/>
      <c r="C349" s="40"/>
      <c r="D349" s="41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31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</row>
    <row r="350">
      <c r="A350" s="8"/>
      <c r="B350" s="39"/>
      <c r="C350" s="40"/>
      <c r="D350" s="41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31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</row>
    <row r="351">
      <c r="A351" s="8"/>
      <c r="B351" s="39"/>
      <c r="C351" s="40"/>
      <c r="D351" s="41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31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</row>
    <row r="352">
      <c r="A352" s="8"/>
      <c r="B352" s="39"/>
      <c r="C352" s="40"/>
      <c r="D352" s="41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31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</row>
    <row r="353">
      <c r="A353" s="8"/>
      <c r="B353" s="39"/>
      <c r="C353" s="40"/>
      <c r="D353" s="41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31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</row>
    <row r="354">
      <c r="A354" s="8"/>
      <c r="B354" s="39"/>
      <c r="C354" s="40"/>
      <c r="D354" s="41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31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</row>
    <row r="355">
      <c r="A355" s="8"/>
      <c r="B355" s="39"/>
      <c r="C355" s="40"/>
      <c r="D355" s="41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31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</row>
    <row r="356">
      <c r="A356" s="8"/>
      <c r="B356" s="39"/>
      <c r="C356" s="40"/>
      <c r="D356" s="41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31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</row>
    <row r="357">
      <c r="A357" s="8"/>
      <c r="B357" s="39"/>
      <c r="C357" s="40"/>
      <c r="D357" s="41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31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</row>
    <row r="358">
      <c r="A358" s="8"/>
      <c r="B358" s="39"/>
      <c r="C358" s="40"/>
      <c r="D358" s="41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31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</row>
    <row r="359">
      <c r="A359" s="8"/>
      <c r="B359" s="39"/>
      <c r="C359" s="40"/>
      <c r="D359" s="41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31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</row>
    <row r="360">
      <c r="A360" s="8"/>
      <c r="B360" s="39"/>
      <c r="C360" s="40"/>
      <c r="D360" s="41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31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</row>
    <row r="361">
      <c r="A361" s="8"/>
      <c r="B361" s="39"/>
      <c r="C361" s="40"/>
      <c r="D361" s="41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31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</row>
    <row r="362">
      <c r="A362" s="8"/>
      <c r="B362" s="39"/>
      <c r="C362" s="40"/>
      <c r="D362" s="41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31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</row>
    <row r="363">
      <c r="A363" s="8"/>
      <c r="B363" s="39"/>
      <c r="C363" s="40"/>
      <c r="D363" s="41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31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</row>
    <row r="364">
      <c r="A364" s="8"/>
      <c r="B364" s="39"/>
      <c r="C364" s="40"/>
      <c r="D364" s="41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31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</row>
    <row r="365">
      <c r="A365" s="8"/>
      <c r="B365" s="39"/>
      <c r="C365" s="40"/>
      <c r="D365" s="41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31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</row>
    <row r="366">
      <c r="A366" s="8"/>
      <c r="B366" s="39"/>
      <c r="C366" s="40"/>
      <c r="D366" s="41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31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</row>
    <row r="367">
      <c r="A367" s="8"/>
      <c r="B367" s="39"/>
      <c r="C367" s="40"/>
      <c r="D367" s="41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31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</row>
    <row r="368">
      <c r="A368" s="8"/>
      <c r="B368" s="39"/>
      <c r="C368" s="40"/>
      <c r="D368" s="41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31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</row>
    <row r="369">
      <c r="A369" s="8"/>
      <c r="B369" s="39"/>
      <c r="C369" s="40"/>
      <c r="D369" s="41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31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</row>
    <row r="370">
      <c r="A370" s="8"/>
      <c r="B370" s="39"/>
      <c r="C370" s="40"/>
      <c r="D370" s="41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31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</row>
    <row r="371">
      <c r="A371" s="8"/>
      <c r="B371" s="39"/>
      <c r="C371" s="40"/>
      <c r="D371" s="41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31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</row>
    <row r="372">
      <c r="A372" s="8"/>
      <c r="B372" s="39"/>
      <c r="C372" s="40"/>
      <c r="D372" s="41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31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</row>
    <row r="373">
      <c r="A373" s="8"/>
      <c r="B373" s="39"/>
      <c r="C373" s="40"/>
      <c r="D373" s="41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31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</row>
    <row r="374">
      <c r="A374" s="8"/>
      <c r="B374" s="39"/>
      <c r="C374" s="40"/>
      <c r="D374" s="41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31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</row>
    <row r="375">
      <c r="A375" s="8"/>
      <c r="B375" s="39"/>
      <c r="C375" s="40"/>
      <c r="D375" s="41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31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</row>
    <row r="376">
      <c r="A376" s="8"/>
      <c r="B376" s="39"/>
      <c r="C376" s="40"/>
      <c r="D376" s="41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31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</row>
    <row r="377">
      <c r="A377" s="8"/>
      <c r="B377" s="39"/>
      <c r="C377" s="40"/>
      <c r="D377" s="41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31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</row>
    <row r="378">
      <c r="A378" s="8"/>
      <c r="B378" s="39"/>
      <c r="C378" s="40"/>
      <c r="D378" s="41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31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</row>
    <row r="379">
      <c r="A379" s="8"/>
      <c r="B379" s="39"/>
      <c r="C379" s="40"/>
      <c r="D379" s="41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31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</row>
    <row r="380">
      <c r="A380" s="8"/>
      <c r="B380" s="39"/>
      <c r="C380" s="40"/>
      <c r="D380" s="41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31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</row>
    <row r="381">
      <c r="A381" s="8"/>
      <c r="B381" s="39"/>
      <c r="C381" s="40"/>
      <c r="D381" s="41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31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</row>
    <row r="382">
      <c r="A382" s="8"/>
      <c r="B382" s="39"/>
      <c r="C382" s="40"/>
      <c r="D382" s="41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31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</row>
    <row r="383">
      <c r="A383" s="8"/>
      <c r="B383" s="39"/>
      <c r="C383" s="40"/>
      <c r="D383" s="41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31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</row>
    <row r="384">
      <c r="A384" s="8"/>
      <c r="B384" s="39"/>
      <c r="C384" s="40"/>
      <c r="D384" s="41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31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</row>
    <row r="385">
      <c r="A385" s="8"/>
      <c r="B385" s="39"/>
      <c r="C385" s="40"/>
      <c r="D385" s="41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31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</row>
    <row r="386">
      <c r="A386" s="8"/>
      <c r="B386" s="39"/>
      <c r="C386" s="40"/>
      <c r="D386" s="41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31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</row>
    <row r="387">
      <c r="A387" s="8"/>
      <c r="B387" s="39"/>
      <c r="C387" s="40"/>
      <c r="D387" s="41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31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</row>
    <row r="388">
      <c r="A388" s="8"/>
      <c r="B388" s="39"/>
      <c r="C388" s="40"/>
      <c r="D388" s="41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31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</row>
    <row r="389">
      <c r="A389" s="8"/>
      <c r="B389" s="39"/>
      <c r="C389" s="40"/>
      <c r="D389" s="41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31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</row>
    <row r="390">
      <c r="A390" s="8"/>
      <c r="B390" s="39"/>
      <c r="C390" s="40"/>
      <c r="D390" s="41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31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</row>
    <row r="391">
      <c r="A391" s="8"/>
      <c r="B391" s="39"/>
      <c r="C391" s="40"/>
      <c r="D391" s="41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31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</row>
    <row r="392">
      <c r="A392" s="8"/>
      <c r="B392" s="39"/>
      <c r="C392" s="40"/>
      <c r="D392" s="41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31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</row>
    <row r="393">
      <c r="A393" s="8"/>
      <c r="B393" s="39"/>
      <c r="C393" s="40"/>
      <c r="D393" s="41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31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</row>
    <row r="394">
      <c r="A394" s="8"/>
      <c r="B394" s="39"/>
      <c r="C394" s="40"/>
      <c r="D394" s="41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31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</row>
    <row r="395">
      <c r="A395" s="8"/>
      <c r="B395" s="39"/>
      <c r="C395" s="40"/>
      <c r="D395" s="41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31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</row>
    <row r="396">
      <c r="A396" s="8"/>
      <c r="B396" s="39"/>
      <c r="C396" s="40"/>
      <c r="D396" s="41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31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</row>
    <row r="397">
      <c r="A397" s="8"/>
      <c r="B397" s="39"/>
      <c r="C397" s="40"/>
      <c r="D397" s="41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31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</row>
    <row r="398">
      <c r="A398" s="8"/>
      <c r="B398" s="39"/>
      <c r="C398" s="40"/>
      <c r="D398" s="41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31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</row>
    <row r="399">
      <c r="A399" s="8"/>
      <c r="B399" s="39"/>
      <c r="C399" s="40"/>
      <c r="D399" s="41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31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</row>
    <row r="400">
      <c r="A400" s="8"/>
      <c r="B400" s="39"/>
      <c r="C400" s="40"/>
      <c r="D400" s="41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31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</row>
    <row r="401">
      <c r="A401" s="8"/>
      <c r="B401" s="39"/>
      <c r="C401" s="40"/>
      <c r="D401" s="41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31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</row>
    <row r="402">
      <c r="A402" s="8"/>
      <c r="B402" s="39"/>
      <c r="C402" s="40"/>
      <c r="D402" s="41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31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</row>
    <row r="403">
      <c r="A403" s="8"/>
      <c r="B403" s="39"/>
      <c r="C403" s="40"/>
      <c r="D403" s="41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31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</row>
    <row r="404">
      <c r="A404" s="8"/>
      <c r="B404" s="39"/>
      <c r="C404" s="40"/>
      <c r="D404" s="41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31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</row>
    <row r="405">
      <c r="A405" s="8"/>
      <c r="B405" s="39"/>
      <c r="C405" s="40"/>
      <c r="D405" s="41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31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</row>
    <row r="406">
      <c r="A406" s="8"/>
      <c r="B406" s="39"/>
      <c r="C406" s="40"/>
      <c r="D406" s="41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31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</row>
    <row r="407">
      <c r="A407" s="8"/>
      <c r="B407" s="39"/>
      <c r="C407" s="40"/>
      <c r="D407" s="41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31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</row>
    <row r="408">
      <c r="A408" s="8"/>
      <c r="B408" s="39"/>
      <c r="C408" s="40"/>
      <c r="D408" s="41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31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</row>
    <row r="409">
      <c r="A409" s="8"/>
      <c r="B409" s="39"/>
      <c r="C409" s="40"/>
      <c r="D409" s="41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31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</row>
    <row r="410">
      <c r="A410" s="8"/>
      <c r="B410" s="39"/>
      <c r="C410" s="40"/>
      <c r="D410" s="41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31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</row>
    <row r="411">
      <c r="A411" s="8"/>
      <c r="B411" s="39"/>
      <c r="C411" s="40"/>
      <c r="D411" s="41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31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</row>
    <row r="412">
      <c r="A412" s="8"/>
      <c r="B412" s="39"/>
      <c r="C412" s="40"/>
      <c r="D412" s="41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31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</row>
    <row r="413">
      <c r="A413" s="8"/>
      <c r="B413" s="39"/>
      <c r="C413" s="40"/>
      <c r="D413" s="41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31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</row>
    <row r="414">
      <c r="A414" s="8"/>
      <c r="B414" s="39"/>
      <c r="C414" s="40"/>
      <c r="D414" s="41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31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</row>
    <row r="415">
      <c r="A415" s="8"/>
      <c r="B415" s="39"/>
      <c r="C415" s="40"/>
      <c r="D415" s="41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31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</row>
    <row r="416">
      <c r="A416" s="8"/>
      <c r="B416" s="39"/>
      <c r="C416" s="40"/>
      <c r="D416" s="41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31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</row>
    <row r="417">
      <c r="A417" s="8"/>
      <c r="B417" s="39"/>
      <c r="C417" s="40"/>
      <c r="D417" s="41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31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</row>
    <row r="418">
      <c r="A418" s="8"/>
      <c r="B418" s="39"/>
      <c r="C418" s="40"/>
      <c r="D418" s="41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31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</row>
    <row r="419">
      <c r="A419" s="8"/>
      <c r="B419" s="39"/>
      <c r="C419" s="40"/>
      <c r="D419" s="41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31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</row>
    <row r="420">
      <c r="A420" s="8"/>
      <c r="B420" s="39"/>
      <c r="C420" s="40"/>
      <c r="D420" s="41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31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</row>
    <row r="421">
      <c r="A421" s="8"/>
      <c r="B421" s="39"/>
      <c r="C421" s="40"/>
      <c r="D421" s="41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31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</row>
    <row r="422">
      <c r="A422" s="8"/>
      <c r="B422" s="39"/>
      <c r="C422" s="40"/>
      <c r="D422" s="41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31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</row>
    <row r="423">
      <c r="A423" s="8"/>
      <c r="B423" s="39"/>
      <c r="C423" s="40"/>
      <c r="D423" s="41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31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</row>
    <row r="424">
      <c r="A424" s="8"/>
      <c r="B424" s="39"/>
      <c r="C424" s="40"/>
      <c r="D424" s="41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31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</row>
    <row r="425">
      <c r="A425" s="8"/>
      <c r="B425" s="39"/>
      <c r="C425" s="40"/>
      <c r="D425" s="41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31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</row>
    <row r="426">
      <c r="A426" s="8"/>
      <c r="B426" s="39"/>
      <c r="C426" s="40"/>
      <c r="D426" s="41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31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</row>
    <row r="427">
      <c r="A427" s="8"/>
      <c r="B427" s="39"/>
      <c r="C427" s="40"/>
      <c r="D427" s="41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31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</row>
    <row r="428">
      <c r="A428" s="8"/>
      <c r="B428" s="39"/>
      <c r="C428" s="40"/>
      <c r="D428" s="41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31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</row>
    <row r="429">
      <c r="A429" s="8"/>
      <c r="B429" s="39"/>
      <c r="C429" s="40"/>
      <c r="D429" s="41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31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</row>
    <row r="430">
      <c r="A430" s="8"/>
      <c r="B430" s="39"/>
      <c r="C430" s="40"/>
      <c r="D430" s="41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31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</row>
    <row r="431">
      <c r="A431" s="8"/>
      <c r="B431" s="39"/>
      <c r="C431" s="40"/>
      <c r="D431" s="41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31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</row>
    <row r="432">
      <c r="A432" s="8"/>
      <c r="B432" s="39"/>
      <c r="C432" s="40"/>
      <c r="D432" s="41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31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</row>
    <row r="433">
      <c r="A433" s="8"/>
      <c r="B433" s="39"/>
      <c r="C433" s="40"/>
      <c r="D433" s="41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31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</row>
    <row r="434">
      <c r="A434" s="8"/>
      <c r="B434" s="39"/>
      <c r="C434" s="40"/>
      <c r="D434" s="41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31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</row>
    <row r="435">
      <c r="A435" s="8"/>
      <c r="B435" s="39"/>
      <c r="C435" s="40"/>
      <c r="D435" s="41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31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</row>
    <row r="436">
      <c r="A436" s="8"/>
      <c r="B436" s="39"/>
      <c r="C436" s="40"/>
      <c r="D436" s="41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31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</row>
    <row r="437">
      <c r="A437" s="8"/>
      <c r="B437" s="39"/>
      <c r="C437" s="40"/>
      <c r="D437" s="41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31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</row>
    <row r="438">
      <c r="A438" s="8"/>
      <c r="B438" s="39"/>
      <c r="C438" s="40"/>
      <c r="D438" s="41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31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</row>
    <row r="439">
      <c r="A439" s="8"/>
      <c r="B439" s="39"/>
      <c r="C439" s="40"/>
      <c r="D439" s="41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31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</row>
    <row r="440">
      <c r="A440" s="8"/>
      <c r="B440" s="39"/>
      <c r="C440" s="40"/>
      <c r="D440" s="41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31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</row>
    <row r="441">
      <c r="A441" s="8"/>
      <c r="B441" s="39"/>
      <c r="C441" s="40"/>
      <c r="D441" s="41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31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</row>
    <row r="442">
      <c r="A442" s="8"/>
      <c r="B442" s="39"/>
      <c r="C442" s="40"/>
      <c r="D442" s="41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31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</row>
    <row r="443">
      <c r="A443" s="8"/>
      <c r="B443" s="39"/>
      <c r="C443" s="40"/>
      <c r="D443" s="41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31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</row>
    <row r="444">
      <c r="A444" s="8"/>
      <c r="B444" s="39"/>
      <c r="C444" s="40"/>
      <c r="D444" s="41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31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</row>
    <row r="445">
      <c r="A445" s="8"/>
      <c r="B445" s="39"/>
      <c r="C445" s="40"/>
      <c r="D445" s="41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31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</row>
    <row r="446">
      <c r="A446" s="8"/>
      <c r="B446" s="39"/>
      <c r="C446" s="40"/>
      <c r="D446" s="41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31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</row>
    <row r="447">
      <c r="A447" s="8"/>
      <c r="B447" s="39"/>
      <c r="C447" s="40"/>
      <c r="D447" s="41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31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</row>
    <row r="448">
      <c r="A448" s="8"/>
      <c r="B448" s="39"/>
      <c r="C448" s="40"/>
      <c r="D448" s="41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31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</row>
    <row r="449">
      <c r="A449" s="8"/>
      <c r="B449" s="39"/>
      <c r="C449" s="40"/>
      <c r="D449" s="41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31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</row>
    <row r="450">
      <c r="A450" s="8"/>
      <c r="B450" s="39"/>
      <c r="C450" s="40"/>
      <c r="D450" s="41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31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</row>
    <row r="451">
      <c r="A451" s="8"/>
      <c r="B451" s="39"/>
      <c r="C451" s="40"/>
      <c r="D451" s="41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31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</row>
    <row r="452">
      <c r="A452" s="8"/>
      <c r="B452" s="39"/>
      <c r="C452" s="40"/>
      <c r="D452" s="41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31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</row>
    <row r="453">
      <c r="A453" s="8"/>
      <c r="B453" s="39"/>
      <c r="C453" s="40"/>
      <c r="D453" s="41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31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</row>
    <row r="454">
      <c r="A454" s="8"/>
      <c r="B454" s="39"/>
      <c r="C454" s="40"/>
      <c r="D454" s="41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31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</row>
    <row r="455">
      <c r="A455" s="8"/>
      <c r="B455" s="39"/>
      <c r="C455" s="40"/>
      <c r="D455" s="41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31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</row>
    <row r="456">
      <c r="A456" s="8"/>
      <c r="B456" s="39"/>
      <c r="C456" s="40"/>
      <c r="D456" s="41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31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</row>
    <row r="457">
      <c r="A457" s="8"/>
      <c r="B457" s="39"/>
      <c r="C457" s="40"/>
      <c r="D457" s="41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31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</row>
    <row r="458">
      <c r="A458" s="8"/>
      <c r="B458" s="39"/>
      <c r="C458" s="40"/>
      <c r="D458" s="41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31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</row>
    <row r="459">
      <c r="A459" s="8"/>
      <c r="B459" s="39"/>
      <c r="C459" s="40"/>
      <c r="D459" s="41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31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</row>
    <row r="460">
      <c r="A460" s="8"/>
      <c r="B460" s="39"/>
      <c r="C460" s="40"/>
      <c r="D460" s="41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31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</row>
    <row r="461">
      <c r="A461" s="8"/>
      <c r="B461" s="39"/>
      <c r="C461" s="40"/>
      <c r="D461" s="41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31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</row>
    <row r="462">
      <c r="A462" s="8"/>
      <c r="B462" s="39"/>
      <c r="C462" s="40"/>
      <c r="D462" s="41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31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</row>
    <row r="463">
      <c r="A463" s="8"/>
      <c r="B463" s="39"/>
      <c r="C463" s="40"/>
      <c r="D463" s="41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31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</row>
    <row r="464">
      <c r="A464" s="8"/>
      <c r="B464" s="39"/>
      <c r="C464" s="40"/>
      <c r="D464" s="41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31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</row>
    <row r="465">
      <c r="A465" s="8"/>
      <c r="B465" s="39"/>
      <c r="C465" s="40"/>
      <c r="D465" s="41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31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</row>
    <row r="466">
      <c r="A466" s="8"/>
      <c r="B466" s="39"/>
      <c r="C466" s="40"/>
      <c r="D466" s="41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31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</row>
    <row r="467">
      <c r="A467" s="8"/>
      <c r="B467" s="39"/>
      <c r="C467" s="40"/>
      <c r="D467" s="41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31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</row>
    <row r="468">
      <c r="A468" s="8"/>
      <c r="B468" s="39"/>
      <c r="C468" s="40"/>
      <c r="D468" s="41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31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</row>
    <row r="469">
      <c r="A469" s="8"/>
      <c r="B469" s="39"/>
      <c r="C469" s="40"/>
      <c r="D469" s="41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31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</row>
    <row r="470">
      <c r="A470" s="8"/>
      <c r="B470" s="39"/>
      <c r="C470" s="40"/>
      <c r="D470" s="41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31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</row>
    <row r="471">
      <c r="A471" s="8"/>
      <c r="B471" s="39"/>
      <c r="C471" s="40"/>
      <c r="D471" s="41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31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</row>
    <row r="472">
      <c r="A472" s="8"/>
      <c r="B472" s="39"/>
      <c r="C472" s="40"/>
      <c r="D472" s="41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31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</row>
    <row r="473">
      <c r="A473" s="8"/>
      <c r="B473" s="39"/>
      <c r="C473" s="40"/>
      <c r="D473" s="41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31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</row>
    <row r="474">
      <c r="A474" s="8"/>
      <c r="B474" s="39"/>
      <c r="C474" s="40"/>
      <c r="D474" s="41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31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</row>
    <row r="475">
      <c r="A475" s="8"/>
      <c r="B475" s="39"/>
      <c r="C475" s="40"/>
      <c r="D475" s="41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31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</row>
    <row r="476">
      <c r="A476" s="8"/>
      <c r="B476" s="39"/>
      <c r="C476" s="40"/>
      <c r="D476" s="41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31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</row>
    <row r="477">
      <c r="A477" s="8"/>
      <c r="B477" s="39"/>
      <c r="C477" s="40"/>
      <c r="D477" s="41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31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</row>
    <row r="478">
      <c r="A478" s="8"/>
      <c r="B478" s="39"/>
      <c r="C478" s="40"/>
      <c r="D478" s="41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31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</row>
    <row r="479">
      <c r="A479" s="8"/>
      <c r="B479" s="39"/>
      <c r="C479" s="40"/>
      <c r="D479" s="41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31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</row>
    <row r="480">
      <c r="A480" s="8"/>
      <c r="B480" s="39"/>
      <c r="C480" s="40"/>
      <c r="D480" s="41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31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</row>
    <row r="481">
      <c r="A481" s="8"/>
      <c r="B481" s="39"/>
      <c r="C481" s="40"/>
      <c r="D481" s="41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31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</row>
    <row r="482">
      <c r="A482" s="8"/>
      <c r="B482" s="39"/>
      <c r="C482" s="40"/>
      <c r="D482" s="41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31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</row>
    <row r="483">
      <c r="A483" s="8"/>
      <c r="B483" s="39"/>
      <c r="C483" s="40"/>
      <c r="D483" s="41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31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</row>
    <row r="484">
      <c r="A484" s="8"/>
      <c r="B484" s="39"/>
      <c r="C484" s="40"/>
      <c r="D484" s="41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31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</row>
    <row r="485">
      <c r="A485" s="8"/>
      <c r="B485" s="39"/>
      <c r="C485" s="40"/>
      <c r="D485" s="41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31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</row>
    <row r="486">
      <c r="A486" s="8"/>
      <c r="B486" s="39"/>
      <c r="C486" s="40"/>
      <c r="D486" s="41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31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</row>
    <row r="487">
      <c r="A487" s="8"/>
      <c r="B487" s="39"/>
      <c r="C487" s="40"/>
      <c r="D487" s="41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31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</row>
    <row r="488">
      <c r="A488" s="8"/>
      <c r="B488" s="39"/>
      <c r="C488" s="40"/>
      <c r="D488" s="41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31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</row>
    <row r="489">
      <c r="A489" s="8"/>
      <c r="B489" s="39"/>
      <c r="C489" s="40"/>
      <c r="D489" s="41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31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</row>
    <row r="490">
      <c r="A490" s="8"/>
      <c r="B490" s="39"/>
      <c r="C490" s="40"/>
      <c r="D490" s="41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31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</row>
    <row r="491">
      <c r="A491" s="8"/>
      <c r="B491" s="39"/>
      <c r="C491" s="40"/>
      <c r="D491" s="41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31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</row>
    <row r="492">
      <c r="A492" s="8"/>
      <c r="B492" s="39"/>
      <c r="C492" s="40"/>
      <c r="D492" s="41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31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</row>
    <row r="493">
      <c r="A493" s="8"/>
      <c r="B493" s="39"/>
      <c r="C493" s="40"/>
      <c r="D493" s="41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31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</row>
    <row r="494">
      <c r="A494" s="8"/>
      <c r="B494" s="39"/>
      <c r="C494" s="40"/>
      <c r="D494" s="41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31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</row>
    <row r="495">
      <c r="A495" s="8"/>
      <c r="B495" s="39"/>
      <c r="C495" s="40"/>
      <c r="D495" s="41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31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</row>
    <row r="496">
      <c r="A496" s="8"/>
      <c r="B496" s="39"/>
      <c r="C496" s="40"/>
      <c r="D496" s="41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31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</row>
    <row r="497">
      <c r="A497" s="8"/>
      <c r="B497" s="39"/>
      <c r="C497" s="40"/>
      <c r="D497" s="41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31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</row>
    <row r="498">
      <c r="A498" s="8"/>
      <c r="B498" s="39"/>
      <c r="C498" s="40"/>
      <c r="D498" s="41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31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</row>
    <row r="499">
      <c r="A499" s="8"/>
      <c r="B499" s="39"/>
      <c r="C499" s="40"/>
      <c r="D499" s="41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31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</row>
    <row r="500">
      <c r="A500" s="8"/>
      <c r="B500" s="39"/>
      <c r="C500" s="40"/>
      <c r="D500" s="41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31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</row>
    <row r="501">
      <c r="A501" s="8"/>
      <c r="B501" s="39"/>
      <c r="C501" s="40"/>
      <c r="D501" s="41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31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</row>
    <row r="502">
      <c r="A502" s="8"/>
      <c r="B502" s="39"/>
      <c r="C502" s="40"/>
      <c r="D502" s="41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31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</row>
    <row r="503">
      <c r="A503" s="8"/>
      <c r="B503" s="39"/>
      <c r="C503" s="40"/>
      <c r="D503" s="41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31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</row>
    <row r="504">
      <c r="A504" s="8"/>
      <c r="B504" s="39"/>
      <c r="C504" s="40"/>
      <c r="D504" s="41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31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</row>
    <row r="505">
      <c r="A505" s="8"/>
      <c r="B505" s="39"/>
      <c r="C505" s="40"/>
      <c r="D505" s="41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31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</row>
    <row r="506">
      <c r="A506" s="8"/>
      <c r="B506" s="39"/>
      <c r="C506" s="40"/>
      <c r="D506" s="41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31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</row>
    <row r="507">
      <c r="A507" s="8"/>
      <c r="B507" s="39"/>
      <c r="C507" s="40"/>
      <c r="D507" s="41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31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</row>
    <row r="508">
      <c r="A508" s="8"/>
      <c r="B508" s="39"/>
      <c r="C508" s="40"/>
      <c r="D508" s="41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31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</row>
    <row r="509">
      <c r="A509" s="8"/>
      <c r="B509" s="39"/>
      <c r="C509" s="40"/>
      <c r="D509" s="41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31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</row>
    <row r="510">
      <c r="A510" s="8"/>
      <c r="B510" s="39"/>
      <c r="C510" s="40"/>
      <c r="D510" s="41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31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</row>
    <row r="511">
      <c r="A511" s="8"/>
      <c r="B511" s="39"/>
      <c r="C511" s="40"/>
      <c r="D511" s="41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31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</row>
    <row r="512">
      <c r="A512" s="8"/>
      <c r="B512" s="39"/>
      <c r="C512" s="40"/>
      <c r="D512" s="41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31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</row>
    <row r="513">
      <c r="A513" s="8"/>
      <c r="B513" s="39"/>
      <c r="C513" s="40"/>
      <c r="D513" s="41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31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</row>
    <row r="514">
      <c r="A514" s="8"/>
      <c r="B514" s="39"/>
      <c r="C514" s="40"/>
      <c r="D514" s="41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31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</row>
    <row r="515">
      <c r="A515" s="8"/>
      <c r="B515" s="39"/>
      <c r="C515" s="40"/>
      <c r="D515" s="41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31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</row>
    <row r="516">
      <c r="A516" s="8"/>
      <c r="B516" s="39"/>
      <c r="C516" s="40"/>
      <c r="D516" s="41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31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</row>
    <row r="517">
      <c r="A517" s="8"/>
      <c r="B517" s="39"/>
      <c r="C517" s="40"/>
      <c r="D517" s="41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31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</row>
    <row r="518">
      <c r="A518" s="8"/>
      <c r="B518" s="39"/>
      <c r="C518" s="40"/>
      <c r="D518" s="41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31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</row>
    <row r="519">
      <c r="A519" s="8"/>
      <c r="B519" s="39"/>
      <c r="C519" s="40"/>
      <c r="D519" s="41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31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</row>
    <row r="520">
      <c r="A520" s="8"/>
      <c r="B520" s="39"/>
      <c r="C520" s="40"/>
      <c r="D520" s="41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31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</row>
    <row r="521">
      <c r="A521" s="8"/>
      <c r="B521" s="39"/>
      <c r="C521" s="40"/>
      <c r="D521" s="41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31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</row>
    <row r="522">
      <c r="A522" s="8"/>
      <c r="B522" s="39"/>
      <c r="C522" s="40"/>
      <c r="D522" s="41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31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</row>
    <row r="523">
      <c r="A523" s="8"/>
      <c r="B523" s="39"/>
      <c r="C523" s="40"/>
      <c r="D523" s="41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31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</row>
    <row r="524">
      <c r="A524" s="8"/>
      <c r="B524" s="39"/>
      <c r="C524" s="40"/>
      <c r="D524" s="41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31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</row>
    <row r="525">
      <c r="A525" s="8"/>
      <c r="B525" s="39"/>
      <c r="C525" s="40"/>
      <c r="D525" s="41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31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</row>
    <row r="526">
      <c r="A526" s="8"/>
      <c r="B526" s="39"/>
      <c r="C526" s="40"/>
      <c r="D526" s="41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31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</row>
    <row r="527">
      <c r="A527" s="8"/>
      <c r="B527" s="39"/>
      <c r="C527" s="40"/>
      <c r="D527" s="41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31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</row>
    <row r="528">
      <c r="A528" s="8"/>
      <c r="B528" s="39"/>
      <c r="C528" s="40"/>
      <c r="D528" s="41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31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</row>
    <row r="529">
      <c r="A529" s="8"/>
      <c r="B529" s="39"/>
      <c r="C529" s="40"/>
      <c r="D529" s="41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31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</row>
    <row r="530">
      <c r="A530" s="8"/>
      <c r="B530" s="39"/>
      <c r="C530" s="40"/>
      <c r="D530" s="41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31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</row>
    <row r="531">
      <c r="A531" s="8"/>
      <c r="B531" s="39"/>
      <c r="C531" s="40"/>
      <c r="D531" s="41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31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</row>
    <row r="532">
      <c r="A532" s="8"/>
      <c r="B532" s="39"/>
      <c r="C532" s="40"/>
      <c r="D532" s="41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31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</row>
    <row r="533">
      <c r="A533" s="8"/>
      <c r="B533" s="39"/>
      <c r="C533" s="40"/>
      <c r="D533" s="41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31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</row>
    <row r="534">
      <c r="A534" s="8"/>
      <c r="B534" s="39"/>
      <c r="C534" s="40"/>
      <c r="D534" s="41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31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</row>
    <row r="535">
      <c r="A535" s="8"/>
      <c r="B535" s="39"/>
      <c r="C535" s="40"/>
      <c r="D535" s="41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31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</row>
    <row r="536">
      <c r="A536" s="8"/>
      <c r="B536" s="39"/>
      <c r="C536" s="40"/>
      <c r="D536" s="41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31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</row>
    <row r="537">
      <c r="A537" s="8"/>
      <c r="B537" s="39"/>
      <c r="C537" s="40"/>
      <c r="D537" s="41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31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</row>
    <row r="538">
      <c r="A538" s="8"/>
      <c r="B538" s="39"/>
      <c r="C538" s="40"/>
      <c r="D538" s="41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31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</row>
    <row r="539">
      <c r="A539" s="8"/>
      <c r="B539" s="39"/>
      <c r="C539" s="40"/>
      <c r="D539" s="41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31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</row>
    <row r="540">
      <c r="A540" s="8"/>
      <c r="B540" s="39"/>
      <c r="C540" s="40"/>
      <c r="D540" s="41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31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</row>
    <row r="541">
      <c r="A541" s="8"/>
      <c r="B541" s="39"/>
      <c r="C541" s="40"/>
      <c r="D541" s="41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31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</row>
    <row r="542">
      <c r="A542" s="8"/>
      <c r="B542" s="39"/>
      <c r="C542" s="40"/>
      <c r="D542" s="41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31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</row>
    <row r="543">
      <c r="A543" s="8"/>
      <c r="B543" s="39"/>
      <c r="C543" s="40"/>
      <c r="D543" s="41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31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</row>
    <row r="544">
      <c r="A544" s="8"/>
      <c r="B544" s="39"/>
      <c r="C544" s="40"/>
      <c r="D544" s="41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31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</row>
    <row r="545">
      <c r="A545" s="8"/>
      <c r="B545" s="39"/>
      <c r="C545" s="40"/>
      <c r="D545" s="41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31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</row>
    <row r="546">
      <c r="A546" s="8"/>
      <c r="B546" s="39"/>
      <c r="C546" s="40"/>
      <c r="D546" s="41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31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</row>
    <row r="547">
      <c r="A547" s="8"/>
      <c r="B547" s="39"/>
      <c r="C547" s="40"/>
      <c r="D547" s="41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31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</row>
    <row r="548">
      <c r="A548" s="8"/>
      <c r="B548" s="39"/>
      <c r="C548" s="40"/>
      <c r="D548" s="41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31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</row>
    <row r="549">
      <c r="A549" s="8"/>
      <c r="B549" s="39"/>
      <c r="C549" s="40"/>
      <c r="D549" s="41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31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</row>
    <row r="550">
      <c r="A550" s="8"/>
      <c r="B550" s="39"/>
      <c r="C550" s="40"/>
      <c r="D550" s="41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31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</row>
    <row r="551">
      <c r="A551" s="8"/>
      <c r="B551" s="39"/>
      <c r="C551" s="40"/>
      <c r="D551" s="41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31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</row>
    <row r="552">
      <c r="A552" s="8"/>
      <c r="B552" s="39"/>
      <c r="C552" s="40"/>
      <c r="D552" s="41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31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</row>
    <row r="553">
      <c r="A553" s="8"/>
      <c r="B553" s="39"/>
      <c r="C553" s="40"/>
      <c r="D553" s="41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31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</row>
    <row r="554">
      <c r="A554" s="8"/>
      <c r="B554" s="39"/>
      <c r="C554" s="40"/>
      <c r="D554" s="41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31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</row>
    <row r="555">
      <c r="A555" s="8"/>
      <c r="B555" s="39"/>
      <c r="C555" s="40"/>
      <c r="D555" s="41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31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</row>
    <row r="556">
      <c r="A556" s="8"/>
      <c r="B556" s="39"/>
      <c r="C556" s="40"/>
      <c r="D556" s="41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31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</row>
    <row r="557">
      <c r="A557" s="8"/>
      <c r="B557" s="39"/>
      <c r="C557" s="40"/>
      <c r="D557" s="41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31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</row>
    <row r="558">
      <c r="A558" s="8"/>
      <c r="B558" s="39"/>
      <c r="C558" s="40"/>
      <c r="D558" s="41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31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</row>
    <row r="559">
      <c r="A559" s="8"/>
      <c r="B559" s="39"/>
      <c r="C559" s="40"/>
      <c r="D559" s="41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31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</row>
    <row r="560">
      <c r="A560" s="8"/>
      <c r="B560" s="39"/>
      <c r="C560" s="40"/>
      <c r="D560" s="41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31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</row>
    <row r="561">
      <c r="A561" s="8"/>
      <c r="B561" s="39"/>
      <c r="C561" s="40"/>
      <c r="D561" s="41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31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</row>
    <row r="562">
      <c r="A562" s="8"/>
      <c r="B562" s="39"/>
      <c r="C562" s="40"/>
      <c r="D562" s="41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31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</row>
    <row r="563">
      <c r="A563" s="8"/>
      <c r="B563" s="39"/>
      <c r="C563" s="40"/>
      <c r="D563" s="41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31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</row>
    <row r="564">
      <c r="A564" s="8"/>
      <c r="B564" s="39"/>
      <c r="C564" s="40"/>
      <c r="D564" s="41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31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</row>
    <row r="565">
      <c r="A565" s="8"/>
      <c r="B565" s="39"/>
      <c r="C565" s="40"/>
      <c r="D565" s="41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31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</row>
    <row r="566">
      <c r="A566" s="8"/>
      <c r="B566" s="39"/>
      <c r="C566" s="40"/>
      <c r="D566" s="41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31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</row>
    <row r="567">
      <c r="A567" s="8"/>
      <c r="B567" s="39"/>
      <c r="C567" s="40"/>
      <c r="D567" s="41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31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</row>
    <row r="568">
      <c r="A568" s="8"/>
      <c r="B568" s="39"/>
      <c r="C568" s="40"/>
      <c r="D568" s="41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31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</row>
    <row r="569">
      <c r="A569" s="8"/>
      <c r="B569" s="39"/>
      <c r="C569" s="40"/>
      <c r="D569" s="41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31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</row>
    <row r="570">
      <c r="A570" s="8"/>
      <c r="B570" s="39"/>
      <c r="C570" s="40"/>
      <c r="D570" s="41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31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</row>
    <row r="571">
      <c r="A571" s="8"/>
      <c r="B571" s="39"/>
      <c r="C571" s="40"/>
      <c r="D571" s="41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31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</row>
    <row r="572">
      <c r="A572" s="8"/>
      <c r="B572" s="39"/>
      <c r="C572" s="40"/>
      <c r="D572" s="41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31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</row>
    <row r="573">
      <c r="A573" s="8"/>
      <c r="B573" s="39"/>
      <c r="C573" s="40"/>
      <c r="D573" s="41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31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</row>
    <row r="574">
      <c r="A574" s="8"/>
      <c r="B574" s="39"/>
      <c r="C574" s="40"/>
      <c r="D574" s="41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31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</row>
    <row r="575">
      <c r="A575" s="8"/>
      <c r="B575" s="39"/>
      <c r="C575" s="40"/>
      <c r="D575" s="41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31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</row>
    <row r="576">
      <c r="A576" s="8"/>
      <c r="B576" s="39"/>
      <c r="C576" s="40"/>
      <c r="D576" s="41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31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</row>
    <row r="577">
      <c r="A577" s="8"/>
      <c r="B577" s="39"/>
      <c r="C577" s="40"/>
      <c r="D577" s="41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31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</row>
    <row r="578">
      <c r="A578" s="8"/>
      <c r="B578" s="39"/>
      <c r="C578" s="40"/>
      <c r="D578" s="41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31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</row>
    <row r="579">
      <c r="A579" s="8"/>
      <c r="B579" s="39"/>
      <c r="C579" s="40"/>
      <c r="D579" s="41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31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</row>
    <row r="580">
      <c r="A580" s="8"/>
      <c r="B580" s="39"/>
      <c r="C580" s="40"/>
      <c r="D580" s="41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31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</row>
    <row r="581">
      <c r="A581" s="8"/>
      <c r="B581" s="39"/>
      <c r="C581" s="40"/>
      <c r="D581" s="41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31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</row>
    <row r="582">
      <c r="A582" s="8"/>
      <c r="B582" s="39"/>
      <c r="C582" s="40"/>
      <c r="D582" s="41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31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</row>
    <row r="583">
      <c r="A583" s="8"/>
      <c r="B583" s="39"/>
      <c r="C583" s="40"/>
      <c r="D583" s="41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31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</row>
    <row r="584">
      <c r="A584" s="8"/>
      <c r="B584" s="39"/>
      <c r="C584" s="40"/>
      <c r="D584" s="41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31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</row>
    <row r="585">
      <c r="A585" s="8"/>
      <c r="B585" s="39"/>
      <c r="C585" s="40"/>
      <c r="D585" s="41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31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</row>
    <row r="586">
      <c r="A586" s="8"/>
      <c r="B586" s="39"/>
      <c r="C586" s="40"/>
      <c r="D586" s="41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31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</row>
    <row r="587">
      <c r="A587" s="8"/>
      <c r="B587" s="39"/>
      <c r="C587" s="40"/>
      <c r="D587" s="41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31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</row>
    <row r="588">
      <c r="A588" s="8"/>
      <c r="B588" s="39"/>
      <c r="C588" s="40"/>
      <c r="D588" s="41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31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</row>
    <row r="589">
      <c r="A589" s="8"/>
      <c r="B589" s="39"/>
      <c r="C589" s="40"/>
      <c r="D589" s="41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31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</row>
    <row r="590">
      <c r="A590" s="8"/>
      <c r="B590" s="39"/>
      <c r="C590" s="40"/>
      <c r="D590" s="41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31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</row>
    <row r="591">
      <c r="A591" s="8"/>
      <c r="B591" s="39"/>
      <c r="C591" s="40"/>
      <c r="D591" s="41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31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</row>
    <row r="592">
      <c r="A592" s="8"/>
      <c r="B592" s="39"/>
      <c r="C592" s="40"/>
      <c r="D592" s="41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31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</row>
    <row r="593">
      <c r="A593" s="8"/>
      <c r="B593" s="39"/>
      <c r="C593" s="40"/>
      <c r="D593" s="41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31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</row>
    <row r="594">
      <c r="A594" s="8"/>
      <c r="B594" s="39"/>
      <c r="C594" s="40"/>
      <c r="D594" s="41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31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</row>
    <row r="595">
      <c r="A595" s="8"/>
      <c r="B595" s="39"/>
      <c r="C595" s="40"/>
      <c r="D595" s="41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31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</row>
    <row r="596">
      <c r="A596" s="8"/>
      <c r="B596" s="39"/>
      <c r="C596" s="40"/>
      <c r="D596" s="41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31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</row>
    <row r="597">
      <c r="A597" s="8"/>
      <c r="B597" s="39"/>
      <c r="C597" s="40"/>
      <c r="D597" s="41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31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</row>
    <row r="598">
      <c r="A598" s="8"/>
      <c r="B598" s="39"/>
      <c r="C598" s="40"/>
      <c r="D598" s="41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31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</row>
    <row r="599">
      <c r="A599" s="8"/>
      <c r="B599" s="39"/>
      <c r="C599" s="40"/>
      <c r="D599" s="41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31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</row>
    <row r="600">
      <c r="A600" s="8"/>
      <c r="B600" s="39"/>
      <c r="C600" s="40"/>
      <c r="D600" s="41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31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</row>
    <row r="601">
      <c r="A601" s="8"/>
      <c r="B601" s="39"/>
      <c r="C601" s="40"/>
      <c r="D601" s="41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31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</row>
    <row r="602">
      <c r="A602" s="8"/>
      <c r="B602" s="39"/>
      <c r="C602" s="40"/>
      <c r="D602" s="41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31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</row>
    <row r="603">
      <c r="A603" s="8"/>
      <c r="B603" s="39"/>
      <c r="C603" s="40"/>
      <c r="D603" s="41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31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</row>
    <row r="604">
      <c r="A604" s="8"/>
      <c r="B604" s="39"/>
      <c r="C604" s="40"/>
      <c r="D604" s="41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31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</row>
    <row r="605">
      <c r="A605" s="8"/>
      <c r="B605" s="39"/>
      <c r="C605" s="40"/>
      <c r="D605" s="41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31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</row>
    <row r="606">
      <c r="A606" s="8"/>
      <c r="B606" s="39"/>
      <c r="C606" s="40"/>
      <c r="D606" s="41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31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</row>
    <row r="607">
      <c r="A607" s="8"/>
      <c r="B607" s="39"/>
      <c r="C607" s="40"/>
      <c r="D607" s="41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31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</row>
    <row r="608">
      <c r="A608" s="8"/>
      <c r="B608" s="39"/>
      <c r="C608" s="40"/>
      <c r="D608" s="41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31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</row>
    <row r="609">
      <c r="A609" s="8"/>
      <c r="B609" s="39"/>
      <c r="C609" s="40"/>
      <c r="D609" s="41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31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</row>
    <row r="610">
      <c r="A610" s="8"/>
      <c r="B610" s="39"/>
      <c r="C610" s="40"/>
      <c r="D610" s="41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31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</row>
    <row r="611">
      <c r="A611" s="8"/>
      <c r="B611" s="39"/>
      <c r="C611" s="40"/>
      <c r="D611" s="41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31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</row>
    <row r="612">
      <c r="A612" s="8"/>
      <c r="B612" s="39"/>
      <c r="C612" s="40"/>
      <c r="D612" s="41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31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</row>
    <row r="613">
      <c r="A613" s="8"/>
      <c r="B613" s="39"/>
      <c r="C613" s="40"/>
      <c r="D613" s="41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31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</row>
    <row r="614">
      <c r="A614" s="8"/>
      <c r="B614" s="39"/>
      <c r="C614" s="40"/>
      <c r="D614" s="41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31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</row>
    <row r="615">
      <c r="A615" s="8"/>
      <c r="B615" s="39"/>
      <c r="C615" s="40"/>
      <c r="D615" s="41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31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</row>
    <row r="616">
      <c r="A616" s="8"/>
      <c r="B616" s="39"/>
      <c r="C616" s="40"/>
      <c r="D616" s="41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31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</row>
    <row r="617">
      <c r="A617" s="8"/>
      <c r="B617" s="39"/>
      <c r="C617" s="40"/>
      <c r="D617" s="41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31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</row>
    <row r="618">
      <c r="A618" s="8"/>
      <c r="B618" s="39"/>
      <c r="C618" s="40"/>
      <c r="D618" s="41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31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</row>
    <row r="619">
      <c r="A619" s="8"/>
      <c r="B619" s="39"/>
      <c r="C619" s="40"/>
      <c r="D619" s="41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31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</row>
    <row r="620">
      <c r="A620" s="8"/>
      <c r="B620" s="39"/>
      <c r="C620" s="40"/>
      <c r="D620" s="41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31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</row>
    <row r="621">
      <c r="A621" s="8"/>
      <c r="B621" s="39"/>
      <c r="C621" s="40"/>
      <c r="D621" s="41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31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</row>
    <row r="622">
      <c r="A622" s="8"/>
      <c r="B622" s="39"/>
      <c r="C622" s="40"/>
      <c r="D622" s="41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31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</row>
    <row r="623">
      <c r="A623" s="8"/>
      <c r="B623" s="39"/>
      <c r="C623" s="40"/>
      <c r="D623" s="41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31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</row>
    <row r="624">
      <c r="A624" s="8"/>
      <c r="B624" s="39"/>
      <c r="C624" s="40"/>
      <c r="D624" s="41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31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</row>
    <row r="625">
      <c r="A625" s="8"/>
      <c r="B625" s="39"/>
      <c r="C625" s="40"/>
      <c r="D625" s="41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31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</row>
    <row r="626">
      <c r="A626" s="8"/>
      <c r="B626" s="39"/>
      <c r="C626" s="40"/>
      <c r="D626" s="41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31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</row>
    <row r="627">
      <c r="A627" s="8"/>
      <c r="B627" s="39"/>
      <c r="C627" s="40"/>
      <c r="D627" s="41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31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</row>
    <row r="628">
      <c r="A628" s="8"/>
      <c r="B628" s="39"/>
      <c r="C628" s="40"/>
      <c r="D628" s="41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31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</row>
    <row r="629">
      <c r="A629" s="8"/>
      <c r="B629" s="39"/>
      <c r="C629" s="40"/>
      <c r="D629" s="41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31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</row>
    <row r="630">
      <c r="A630" s="8"/>
      <c r="B630" s="39"/>
      <c r="C630" s="40"/>
      <c r="D630" s="41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31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</row>
    <row r="631">
      <c r="A631" s="8"/>
      <c r="B631" s="39"/>
      <c r="C631" s="40"/>
      <c r="D631" s="41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31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</row>
    <row r="632">
      <c r="A632" s="8"/>
      <c r="B632" s="39"/>
      <c r="C632" s="40"/>
      <c r="D632" s="41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31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</row>
    <row r="633">
      <c r="A633" s="8"/>
      <c r="B633" s="39"/>
      <c r="C633" s="40"/>
      <c r="D633" s="41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31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</row>
    <row r="634">
      <c r="A634" s="8"/>
      <c r="B634" s="39"/>
      <c r="C634" s="40"/>
      <c r="D634" s="41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31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</row>
    <row r="635">
      <c r="A635" s="8"/>
      <c r="B635" s="39"/>
      <c r="C635" s="40"/>
      <c r="D635" s="41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31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</row>
    <row r="636">
      <c r="A636" s="8"/>
      <c r="B636" s="39"/>
      <c r="C636" s="40"/>
      <c r="D636" s="41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31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</row>
    <row r="637">
      <c r="A637" s="8"/>
      <c r="B637" s="39"/>
      <c r="C637" s="40"/>
      <c r="D637" s="41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31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</row>
    <row r="638">
      <c r="A638" s="8"/>
      <c r="B638" s="39"/>
      <c r="C638" s="40"/>
      <c r="D638" s="41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31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</row>
    <row r="639">
      <c r="A639" s="8"/>
      <c r="B639" s="39"/>
      <c r="C639" s="40"/>
      <c r="D639" s="41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31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</row>
    <row r="640">
      <c r="A640" s="8"/>
      <c r="B640" s="39"/>
      <c r="C640" s="40"/>
      <c r="D640" s="41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31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</row>
    <row r="641">
      <c r="A641" s="8"/>
      <c r="B641" s="39"/>
      <c r="C641" s="40"/>
      <c r="D641" s="41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31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</row>
    <row r="642">
      <c r="A642" s="8"/>
      <c r="B642" s="39"/>
      <c r="C642" s="40"/>
      <c r="D642" s="41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31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</row>
    <row r="643">
      <c r="A643" s="8"/>
      <c r="B643" s="39"/>
      <c r="C643" s="40"/>
      <c r="D643" s="41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31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</row>
    <row r="644">
      <c r="A644" s="8"/>
      <c r="B644" s="39"/>
      <c r="C644" s="40"/>
      <c r="D644" s="41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31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</row>
    <row r="645">
      <c r="A645" s="8"/>
      <c r="B645" s="39"/>
      <c r="C645" s="40"/>
      <c r="D645" s="41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31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</row>
    <row r="646">
      <c r="A646" s="8"/>
      <c r="B646" s="39"/>
      <c r="C646" s="40"/>
      <c r="D646" s="41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31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</row>
    <row r="647">
      <c r="A647" s="8"/>
      <c r="B647" s="39"/>
      <c r="C647" s="40"/>
      <c r="D647" s="41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31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</row>
    <row r="648">
      <c r="A648" s="8"/>
      <c r="B648" s="39"/>
      <c r="C648" s="40"/>
      <c r="D648" s="41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31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</row>
    <row r="649">
      <c r="A649" s="8"/>
      <c r="B649" s="39"/>
      <c r="C649" s="40"/>
      <c r="D649" s="41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31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</row>
    <row r="650">
      <c r="A650" s="8"/>
      <c r="B650" s="39"/>
      <c r="C650" s="40"/>
      <c r="D650" s="41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31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</row>
    <row r="651">
      <c r="A651" s="8"/>
      <c r="B651" s="39"/>
      <c r="C651" s="40"/>
      <c r="D651" s="41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31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</row>
    <row r="652">
      <c r="A652" s="8"/>
      <c r="B652" s="39"/>
      <c r="C652" s="40"/>
      <c r="D652" s="41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31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</row>
    <row r="653">
      <c r="A653" s="8"/>
      <c r="B653" s="39"/>
      <c r="C653" s="40"/>
      <c r="D653" s="41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31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</row>
    <row r="654">
      <c r="A654" s="8"/>
      <c r="B654" s="39"/>
      <c r="C654" s="40"/>
      <c r="D654" s="41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31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</row>
    <row r="655">
      <c r="A655" s="8"/>
      <c r="B655" s="39"/>
      <c r="C655" s="40"/>
      <c r="D655" s="41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31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</row>
    <row r="656">
      <c r="A656" s="8"/>
      <c r="B656" s="39"/>
      <c r="C656" s="40"/>
      <c r="D656" s="41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31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</row>
    <row r="657">
      <c r="A657" s="8"/>
      <c r="B657" s="39"/>
      <c r="C657" s="40"/>
      <c r="D657" s="41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31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</row>
    <row r="658">
      <c r="A658" s="8"/>
      <c r="B658" s="39"/>
      <c r="C658" s="40"/>
      <c r="D658" s="41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31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</row>
    <row r="659">
      <c r="A659" s="8"/>
      <c r="B659" s="39"/>
      <c r="C659" s="40"/>
      <c r="D659" s="41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31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</row>
    <row r="660">
      <c r="A660" s="8"/>
      <c r="B660" s="39"/>
      <c r="C660" s="40"/>
      <c r="D660" s="41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31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</row>
    <row r="661">
      <c r="A661" s="8"/>
      <c r="B661" s="39"/>
      <c r="C661" s="40"/>
      <c r="D661" s="41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31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</row>
    <row r="662">
      <c r="A662" s="8"/>
      <c r="B662" s="39"/>
      <c r="C662" s="40"/>
      <c r="D662" s="41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31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</row>
    <row r="663">
      <c r="A663" s="8"/>
      <c r="B663" s="39"/>
      <c r="C663" s="40"/>
      <c r="D663" s="41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31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</row>
    <row r="664">
      <c r="A664" s="8"/>
      <c r="B664" s="39"/>
      <c r="C664" s="40"/>
      <c r="D664" s="41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31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</row>
    <row r="665">
      <c r="A665" s="8"/>
      <c r="B665" s="39"/>
      <c r="C665" s="40"/>
      <c r="D665" s="41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31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</row>
    <row r="666">
      <c r="A666" s="8"/>
      <c r="B666" s="39"/>
      <c r="C666" s="40"/>
      <c r="D666" s="41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31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</row>
    <row r="667">
      <c r="A667" s="8"/>
      <c r="B667" s="39"/>
      <c r="C667" s="40"/>
      <c r="D667" s="41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31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</row>
    <row r="668">
      <c r="A668" s="8"/>
      <c r="B668" s="39"/>
      <c r="C668" s="40"/>
      <c r="D668" s="41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31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</row>
    <row r="669">
      <c r="A669" s="8"/>
      <c r="B669" s="39"/>
      <c r="C669" s="40"/>
      <c r="D669" s="41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31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</row>
    <row r="670">
      <c r="A670" s="8"/>
      <c r="B670" s="39"/>
      <c r="C670" s="40"/>
      <c r="D670" s="41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31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</row>
    <row r="671">
      <c r="A671" s="8"/>
      <c r="B671" s="39"/>
      <c r="C671" s="40"/>
      <c r="D671" s="41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31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</row>
    <row r="672">
      <c r="A672" s="8"/>
      <c r="B672" s="39"/>
      <c r="C672" s="40"/>
      <c r="D672" s="41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31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</row>
    <row r="673">
      <c r="A673" s="8"/>
      <c r="B673" s="39"/>
      <c r="C673" s="40"/>
      <c r="D673" s="41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31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</row>
    <row r="674">
      <c r="A674" s="8"/>
      <c r="B674" s="39"/>
      <c r="C674" s="40"/>
      <c r="D674" s="41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31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</row>
    <row r="675">
      <c r="A675" s="8"/>
      <c r="B675" s="39"/>
      <c r="C675" s="40"/>
      <c r="D675" s="41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31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</row>
    <row r="676">
      <c r="A676" s="8"/>
      <c r="B676" s="39"/>
      <c r="C676" s="40"/>
      <c r="D676" s="41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31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</row>
    <row r="677">
      <c r="A677" s="8"/>
      <c r="B677" s="39"/>
      <c r="C677" s="40"/>
      <c r="D677" s="41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31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</row>
    <row r="678">
      <c r="A678" s="8"/>
      <c r="B678" s="39"/>
      <c r="C678" s="40"/>
      <c r="D678" s="41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31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</row>
    <row r="679">
      <c r="A679" s="8"/>
      <c r="B679" s="39"/>
      <c r="C679" s="40"/>
      <c r="D679" s="41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31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</row>
    <row r="680">
      <c r="A680" s="8"/>
      <c r="B680" s="39"/>
      <c r="C680" s="40"/>
      <c r="D680" s="41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31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</row>
    <row r="681">
      <c r="A681" s="8"/>
      <c r="B681" s="39"/>
      <c r="C681" s="40"/>
      <c r="D681" s="41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31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</row>
    <row r="682">
      <c r="A682" s="8"/>
      <c r="B682" s="39"/>
      <c r="C682" s="40"/>
      <c r="D682" s="41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31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</row>
    <row r="683">
      <c r="A683" s="8"/>
      <c r="B683" s="39"/>
      <c r="C683" s="40"/>
      <c r="D683" s="41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31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</row>
    <row r="684">
      <c r="A684" s="8"/>
      <c r="B684" s="39"/>
      <c r="C684" s="40"/>
      <c r="D684" s="41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31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</row>
    <row r="685">
      <c r="A685" s="8"/>
      <c r="B685" s="39"/>
      <c r="C685" s="40"/>
      <c r="D685" s="41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31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</row>
    <row r="686">
      <c r="A686" s="8"/>
      <c r="B686" s="39"/>
      <c r="C686" s="40"/>
      <c r="D686" s="41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31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</row>
    <row r="687">
      <c r="A687" s="8"/>
      <c r="B687" s="39"/>
      <c r="C687" s="40"/>
      <c r="D687" s="41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31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</row>
    <row r="688">
      <c r="A688" s="8"/>
      <c r="B688" s="39"/>
      <c r="C688" s="40"/>
      <c r="D688" s="41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31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</row>
    <row r="689">
      <c r="A689" s="8"/>
      <c r="B689" s="39"/>
      <c r="C689" s="40"/>
      <c r="D689" s="41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31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</row>
    <row r="690">
      <c r="A690" s="8"/>
      <c r="B690" s="39"/>
      <c r="C690" s="40"/>
      <c r="D690" s="41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31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</row>
    <row r="691">
      <c r="A691" s="8"/>
      <c r="B691" s="39"/>
      <c r="C691" s="40"/>
      <c r="D691" s="41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31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</row>
    <row r="692">
      <c r="A692" s="8"/>
      <c r="B692" s="39"/>
      <c r="C692" s="40"/>
      <c r="D692" s="41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31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</row>
    <row r="693">
      <c r="A693" s="8"/>
      <c r="B693" s="39"/>
      <c r="C693" s="40"/>
      <c r="D693" s="41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31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</row>
    <row r="694">
      <c r="A694" s="8"/>
      <c r="B694" s="39"/>
      <c r="C694" s="40"/>
      <c r="D694" s="41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31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</row>
    <row r="695">
      <c r="A695" s="8"/>
      <c r="B695" s="39"/>
      <c r="C695" s="40"/>
      <c r="D695" s="41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31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</row>
    <row r="696">
      <c r="A696" s="8"/>
      <c r="B696" s="39"/>
      <c r="C696" s="40"/>
      <c r="D696" s="41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31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</row>
    <row r="697">
      <c r="A697" s="8"/>
      <c r="B697" s="39"/>
      <c r="C697" s="40"/>
      <c r="D697" s="41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31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</row>
    <row r="698">
      <c r="A698" s="8"/>
      <c r="B698" s="39"/>
      <c r="C698" s="40"/>
      <c r="D698" s="41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31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</row>
    <row r="699">
      <c r="A699" s="8"/>
      <c r="B699" s="39"/>
      <c r="C699" s="40"/>
      <c r="D699" s="41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31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</row>
    <row r="700">
      <c r="A700" s="8"/>
      <c r="B700" s="39"/>
      <c r="C700" s="40"/>
      <c r="D700" s="41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31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</row>
    <row r="701">
      <c r="A701" s="8"/>
      <c r="B701" s="39"/>
      <c r="C701" s="40"/>
      <c r="D701" s="41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31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</row>
    <row r="702">
      <c r="A702" s="8"/>
      <c r="B702" s="39"/>
      <c r="C702" s="40"/>
      <c r="D702" s="41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31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</row>
    <row r="703">
      <c r="A703" s="8"/>
      <c r="B703" s="39"/>
      <c r="C703" s="40"/>
      <c r="D703" s="41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31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</row>
    <row r="704">
      <c r="A704" s="8"/>
      <c r="B704" s="39"/>
      <c r="C704" s="40"/>
      <c r="D704" s="41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31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</row>
    <row r="705">
      <c r="A705" s="8"/>
      <c r="B705" s="39"/>
      <c r="C705" s="40"/>
      <c r="D705" s="41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31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</row>
    <row r="706">
      <c r="A706" s="8"/>
      <c r="B706" s="39"/>
      <c r="C706" s="40"/>
      <c r="D706" s="41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31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</row>
    <row r="707">
      <c r="A707" s="8"/>
      <c r="B707" s="39"/>
      <c r="C707" s="40"/>
      <c r="D707" s="41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31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</row>
    <row r="708">
      <c r="A708" s="8"/>
      <c r="B708" s="39"/>
      <c r="C708" s="40"/>
      <c r="D708" s="41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31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</row>
    <row r="709">
      <c r="A709" s="8"/>
      <c r="B709" s="39"/>
      <c r="C709" s="40"/>
      <c r="D709" s="41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31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</row>
    <row r="710">
      <c r="A710" s="8"/>
      <c r="B710" s="39"/>
      <c r="C710" s="40"/>
      <c r="D710" s="41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31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</row>
    <row r="711">
      <c r="A711" s="8"/>
      <c r="B711" s="39"/>
      <c r="C711" s="40"/>
      <c r="D711" s="41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31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</row>
    <row r="712">
      <c r="A712" s="8"/>
      <c r="B712" s="39"/>
      <c r="C712" s="40"/>
      <c r="D712" s="41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31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</row>
    <row r="713">
      <c r="A713" s="8"/>
      <c r="B713" s="39"/>
      <c r="C713" s="40"/>
      <c r="D713" s="41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31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</row>
    <row r="714">
      <c r="A714" s="8"/>
      <c r="B714" s="39"/>
      <c r="C714" s="40"/>
      <c r="D714" s="41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31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</row>
    <row r="715">
      <c r="A715" s="8"/>
      <c r="B715" s="39"/>
      <c r="C715" s="40"/>
      <c r="D715" s="41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31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</row>
    <row r="716">
      <c r="A716" s="8"/>
      <c r="B716" s="39"/>
      <c r="C716" s="40"/>
      <c r="D716" s="41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31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</row>
    <row r="717">
      <c r="A717" s="8"/>
      <c r="B717" s="39"/>
      <c r="C717" s="40"/>
      <c r="D717" s="41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31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</row>
    <row r="718">
      <c r="A718" s="8"/>
      <c r="B718" s="39"/>
      <c r="C718" s="40"/>
      <c r="D718" s="41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31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</row>
    <row r="719">
      <c r="A719" s="8"/>
      <c r="B719" s="39"/>
      <c r="C719" s="40"/>
      <c r="D719" s="41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31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</row>
    <row r="720">
      <c r="A720" s="8"/>
      <c r="B720" s="39"/>
      <c r="C720" s="40"/>
      <c r="D720" s="41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31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</row>
    <row r="721">
      <c r="A721" s="8"/>
      <c r="B721" s="39"/>
      <c r="C721" s="40"/>
      <c r="D721" s="41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31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</row>
    <row r="722">
      <c r="A722" s="8"/>
      <c r="B722" s="39"/>
      <c r="C722" s="40"/>
      <c r="D722" s="41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31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</row>
    <row r="723">
      <c r="A723" s="8"/>
      <c r="B723" s="39"/>
      <c r="C723" s="40"/>
      <c r="D723" s="41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31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</row>
    <row r="724">
      <c r="A724" s="8"/>
      <c r="B724" s="39"/>
      <c r="C724" s="40"/>
      <c r="D724" s="41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31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</row>
    <row r="725">
      <c r="A725" s="8"/>
      <c r="B725" s="39"/>
      <c r="C725" s="40"/>
      <c r="D725" s="41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31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</row>
    <row r="726">
      <c r="A726" s="8"/>
      <c r="B726" s="39"/>
      <c r="C726" s="40"/>
      <c r="D726" s="41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31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</row>
    <row r="727">
      <c r="A727" s="8"/>
      <c r="B727" s="39"/>
      <c r="C727" s="40"/>
      <c r="D727" s="41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31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</row>
    <row r="728">
      <c r="A728" s="8"/>
      <c r="B728" s="39"/>
      <c r="C728" s="40"/>
      <c r="D728" s="41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31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</row>
    <row r="729">
      <c r="A729" s="8"/>
      <c r="B729" s="39"/>
      <c r="C729" s="40"/>
      <c r="D729" s="41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31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</row>
    <row r="730">
      <c r="A730" s="8"/>
      <c r="B730" s="39"/>
      <c r="C730" s="40"/>
      <c r="D730" s="41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31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</row>
    <row r="731">
      <c r="A731" s="8"/>
      <c r="B731" s="39"/>
      <c r="C731" s="40"/>
      <c r="D731" s="41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31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</row>
    <row r="732">
      <c r="A732" s="8"/>
      <c r="B732" s="39"/>
      <c r="C732" s="40"/>
      <c r="D732" s="41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31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</row>
    <row r="733">
      <c r="A733" s="8"/>
      <c r="B733" s="39"/>
      <c r="C733" s="40"/>
      <c r="D733" s="41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31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</row>
    <row r="734">
      <c r="A734" s="8"/>
      <c r="B734" s="39"/>
      <c r="C734" s="40"/>
      <c r="D734" s="41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31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</row>
    <row r="735">
      <c r="A735" s="8"/>
      <c r="B735" s="39"/>
      <c r="C735" s="40"/>
      <c r="D735" s="41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31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</row>
    <row r="736">
      <c r="A736" s="8"/>
      <c r="B736" s="39"/>
      <c r="C736" s="40"/>
      <c r="D736" s="41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31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</row>
    <row r="737">
      <c r="A737" s="8"/>
      <c r="B737" s="39"/>
      <c r="C737" s="40"/>
      <c r="D737" s="41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31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</row>
    <row r="738">
      <c r="A738" s="8"/>
      <c r="B738" s="39"/>
      <c r="C738" s="40"/>
      <c r="D738" s="41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31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</row>
    <row r="739">
      <c r="A739" s="8"/>
      <c r="B739" s="39"/>
      <c r="C739" s="40"/>
      <c r="D739" s="41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31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</row>
    <row r="740">
      <c r="A740" s="8"/>
      <c r="B740" s="39"/>
      <c r="C740" s="40"/>
      <c r="D740" s="41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31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</row>
    <row r="741">
      <c r="A741" s="8"/>
      <c r="B741" s="39"/>
      <c r="C741" s="40"/>
      <c r="D741" s="41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31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</row>
    <row r="742">
      <c r="A742" s="8"/>
      <c r="B742" s="39"/>
      <c r="C742" s="40"/>
      <c r="D742" s="41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31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</row>
    <row r="743">
      <c r="A743" s="8"/>
      <c r="B743" s="39"/>
      <c r="C743" s="40"/>
      <c r="D743" s="41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31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</row>
    <row r="744">
      <c r="A744" s="8"/>
      <c r="B744" s="39"/>
      <c r="C744" s="40"/>
      <c r="D744" s="41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31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</row>
    <row r="745">
      <c r="A745" s="8"/>
      <c r="B745" s="39"/>
      <c r="C745" s="40"/>
      <c r="D745" s="41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31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</row>
    <row r="746">
      <c r="A746" s="8"/>
      <c r="B746" s="39"/>
      <c r="C746" s="40"/>
      <c r="D746" s="41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31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</row>
    <row r="747">
      <c r="A747" s="8"/>
      <c r="B747" s="39"/>
      <c r="C747" s="40"/>
      <c r="D747" s="41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31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</row>
    <row r="748">
      <c r="A748" s="8"/>
      <c r="B748" s="39"/>
      <c r="C748" s="40"/>
      <c r="D748" s="41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31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</row>
    <row r="749">
      <c r="A749" s="8"/>
      <c r="B749" s="39"/>
      <c r="C749" s="40"/>
      <c r="D749" s="41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31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</row>
    <row r="750">
      <c r="A750" s="8"/>
      <c r="B750" s="39"/>
      <c r="C750" s="40"/>
      <c r="D750" s="41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31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</row>
    <row r="751">
      <c r="A751" s="8"/>
      <c r="B751" s="39"/>
      <c r="C751" s="40"/>
      <c r="D751" s="41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31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</row>
    <row r="752">
      <c r="A752" s="8"/>
      <c r="B752" s="39"/>
      <c r="C752" s="40"/>
      <c r="D752" s="41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31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</row>
    <row r="753">
      <c r="A753" s="8"/>
      <c r="B753" s="39"/>
      <c r="C753" s="40"/>
      <c r="D753" s="41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31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</row>
    <row r="754">
      <c r="A754" s="8"/>
      <c r="B754" s="39"/>
      <c r="C754" s="40"/>
      <c r="D754" s="41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31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</row>
    <row r="755">
      <c r="A755" s="8"/>
      <c r="B755" s="39"/>
      <c r="C755" s="40"/>
      <c r="D755" s="41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31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</row>
    <row r="756">
      <c r="A756" s="8"/>
      <c r="B756" s="39"/>
      <c r="C756" s="40"/>
      <c r="D756" s="41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31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</row>
    <row r="757">
      <c r="A757" s="8"/>
      <c r="B757" s="39"/>
      <c r="C757" s="40"/>
      <c r="D757" s="41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31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</row>
    <row r="758">
      <c r="A758" s="8"/>
      <c r="B758" s="39"/>
      <c r="C758" s="40"/>
      <c r="D758" s="41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31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</row>
    <row r="759">
      <c r="A759" s="8"/>
      <c r="B759" s="39"/>
      <c r="C759" s="40"/>
      <c r="D759" s="41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31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</row>
    <row r="760">
      <c r="A760" s="8"/>
      <c r="B760" s="39"/>
      <c r="C760" s="40"/>
      <c r="D760" s="41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31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</row>
    <row r="761">
      <c r="A761" s="8"/>
      <c r="B761" s="39"/>
      <c r="C761" s="40"/>
      <c r="D761" s="41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31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</row>
    <row r="762">
      <c r="A762" s="8"/>
      <c r="B762" s="39"/>
      <c r="C762" s="40"/>
      <c r="D762" s="41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31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</row>
    <row r="763">
      <c r="A763" s="8"/>
      <c r="B763" s="39"/>
      <c r="C763" s="40"/>
      <c r="D763" s="41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31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</row>
    <row r="764">
      <c r="A764" s="8"/>
      <c r="B764" s="39"/>
      <c r="C764" s="40"/>
      <c r="D764" s="41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31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</row>
    <row r="765">
      <c r="A765" s="8"/>
      <c r="B765" s="39"/>
      <c r="C765" s="40"/>
      <c r="D765" s="41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31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</row>
    <row r="766">
      <c r="A766" s="8"/>
      <c r="B766" s="39"/>
      <c r="C766" s="40"/>
      <c r="D766" s="41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31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</row>
    <row r="767">
      <c r="A767" s="8"/>
      <c r="B767" s="39"/>
      <c r="C767" s="40"/>
      <c r="D767" s="41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31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</row>
    <row r="768">
      <c r="A768" s="8"/>
      <c r="B768" s="39"/>
      <c r="C768" s="40"/>
      <c r="D768" s="41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31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</row>
    <row r="769">
      <c r="A769" s="8"/>
      <c r="B769" s="39"/>
      <c r="C769" s="40"/>
      <c r="D769" s="41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31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</row>
    <row r="770">
      <c r="A770" s="8"/>
      <c r="B770" s="39"/>
      <c r="C770" s="40"/>
      <c r="D770" s="41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31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</row>
    <row r="771">
      <c r="A771" s="8"/>
      <c r="B771" s="39"/>
      <c r="C771" s="40"/>
      <c r="D771" s="41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31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</row>
    <row r="772">
      <c r="A772" s="8"/>
      <c r="B772" s="39"/>
      <c r="C772" s="40"/>
      <c r="D772" s="41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31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</row>
    <row r="773">
      <c r="A773" s="8"/>
      <c r="B773" s="39"/>
      <c r="C773" s="40"/>
      <c r="D773" s="41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31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</row>
    <row r="774">
      <c r="A774" s="8"/>
      <c r="B774" s="39"/>
      <c r="C774" s="40"/>
      <c r="D774" s="41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31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</row>
    <row r="775">
      <c r="A775" s="8"/>
      <c r="B775" s="39"/>
      <c r="C775" s="40"/>
      <c r="D775" s="41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31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</row>
    <row r="776">
      <c r="A776" s="8"/>
      <c r="B776" s="39"/>
      <c r="C776" s="40"/>
      <c r="D776" s="41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31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</row>
    <row r="777">
      <c r="A777" s="8"/>
      <c r="B777" s="39"/>
      <c r="C777" s="40"/>
      <c r="D777" s="41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31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</row>
    <row r="778">
      <c r="A778" s="8"/>
      <c r="B778" s="39"/>
      <c r="C778" s="40"/>
      <c r="D778" s="41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31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</row>
    <row r="779">
      <c r="A779" s="8"/>
      <c r="B779" s="39"/>
      <c r="C779" s="40"/>
      <c r="D779" s="41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31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</row>
    <row r="780">
      <c r="A780" s="8"/>
      <c r="B780" s="39"/>
      <c r="C780" s="40"/>
      <c r="D780" s="41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31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</row>
    <row r="781">
      <c r="A781" s="8"/>
      <c r="B781" s="39"/>
      <c r="C781" s="40"/>
      <c r="D781" s="41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31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</row>
    <row r="782">
      <c r="A782" s="8"/>
      <c r="B782" s="39"/>
      <c r="C782" s="40"/>
      <c r="D782" s="41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31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</row>
    <row r="783">
      <c r="A783" s="8"/>
      <c r="B783" s="39"/>
      <c r="C783" s="40"/>
      <c r="D783" s="41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31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</row>
    <row r="784">
      <c r="A784" s="8"/>
      <c r="B784" s="39"/>
      <c r="C784" s="40"/>
      <c r="D784" s="41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31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</row>
    <row r="785">
      <c r="A785" s="8"/>
      <c r="B785" s="39"/>
      <c r="C785" s="40"/>
      <c r="D785" s="41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31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</row>
    <row r="786">
      <c r="A786" s="8"/>
      <c r="B786" s="39"/>
      <c r="C786" s="40"/>
      <c r="D786" s="41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31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</row>
    <row r="787">
      <c r="A787" s="8"/>
      <c r="B787" s="39"/>
      <c r="C787" s="40"/>
      <c r="D787" s="41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31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</row>
    <row r="788">
      <c r="A788" s="8"/>
      <c r="B788" s="39"/>
      <c r="C788" s="40"/>
      <c r="D788" s="41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31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</row>
    <row r="789">
      <c r="A789" s="8"/>
      <c r="B789" s="39"/>
      <c r="C789" s="40"/>
      <c r="D789" s="41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31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</row>
    <row r="790">
      <c r="A790" s="8"/>
      <c r="B790" s="39"/>
      <c r="C790" s="40"/>
      <c r="D790" s="41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31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</row>
    <row r="791">
      <c r="A791" s="8"/>
      <c r="B791" s="39"/>
      <c r="C791" s="40"/>
      <c r="D791" s="41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31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</row>
    <row r="792">
      <c r="A792" s="8"/>
      <c r="B792" s="39"/>
      <c r="C792" s="40"/>
      <c r="D792" s="41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31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</row>
    <row r="793">
      <c r="A793" s="8"/>
      <c r="B793" s="39"/>
      <c r="C793" s="40"/>
      <c r="D793" s="41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31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</row>
    <row r="794">
      <c r="A794" s="8"/>
      <c r="B794" s="39"/>
      <c r="C794" s="40"/>
      <c r="D794" s="41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31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</row>
    <row r="795">
      <c r="A795" s="8"/>
      <c r="B795" s="39"/>
      <c r="C795" s="40"/>
      <c r="D795" s="41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31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</row>
    <row r="796">
      <c r="A796" s="8"/>
      <c r="B796" s="39"/>
      <c r="C796" s="40"/>
      <c r="D796" s="41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31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</row>
    <row r="797">
      <c r="A797" s="8"/>
      <c r="B797" s="39"/>
      <c r="C797" s="40"/>
      <c r="D797" s="41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31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</row>
    <row r="798">
      <c r="A798" s="8"/>
      <c r="B798" s="39"/>
      <c r="C798" s="40"/>
      <c r="D798" s="41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31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</row>
    <row r="799">
      <c r="A799" s="8"/>
      <c r="B799" s="39"/>
      <c r="C799" s="40"/>
      <c r="D799" s="41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31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</row>
    <row r="800">
      <c r="A800" s="8"/>
      <c r="B800" s="39"/>
      <c r="C800" s="40"/>
      <c r="D800" s="41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31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</row>
    <row r="801">
      <c r="A801" s="8"/>
      <c r="B801" s="39"/>
      <c r="C801" s="40"/>
      <c r="D801" s="41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31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</row>
    <row r="802">
      <c r="A802" s="8"/>
      <c r="B802" s="39"/>
      <c r="C802" s="40"/>
      <c r="D802" s="41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31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</row>
    <row r="803">
      <c r="A803" s="8"/>
      <c r="B803" s="39"/>
      <c r="C803" s="40"/>
      <c r="D803" s="41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31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</row>
    <row r="804">
      <c r="A804" s="8"/>
      <c r="B804" s="39"/>
      <c r="C804" s="40"/>
      <c r="D804" s="41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31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</row>
    <row r="805">
      <c r="A805" s="8"/>
      <c r="B805" s="39"/>
      <c r="C805" s="40"/>
      <c r="D805" s="41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31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</row>
    <row r="806">
      <c r="A806" s="8"/>
      <c r="B806" s="39"/>
      <c r="C806" s="40"/>
      <c r="D806" s="41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31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</row>
    <row r="807">
      <c r="A807" s="8"/>
      <c r="B807" s="39"/>
      <c r="C807" s="40"/>
      <c r="D807" s="41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31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</row>
    <row r="808">
      <c r="A808" s="8"/>
      <c r="B808" s="39"/>
      <c r="C808" s="40"/>
      <c r="D808" s="41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31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</row>
    <row r="809">
      <c r="A809" s="8"/>
      <c r="B809" s="39"/>
      <c r="C809" s="40"/>
      <c r="D809" s="41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31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</row>
    <row r="810">
      <c r="A810" s="8"/>
      <c r="B810" s="39"/>
      <c r="C810" s="40"/>
      <c r="D810" s="41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31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</row>
    <row r="811">
      <c r="A811" s="8"/>
      <c r="B811" s="39"/>
      <c r="C811" s="40"/>
      <c r="D811" s="41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31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</row>
    <row r="812">
      <c r="A812" s="8"/>
      <c r="B812" s="39"/>
      <c r="C812" s="40"/>
      <c r="D812" s="41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31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</row>
    <row r="813">
      <c r="A813" s="8"/>
      <c r="B813" s="39"/>
      <c r="C813" s="40"/>
      <c r="D813" s="41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31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</row>
    <row r="814">
      <c r="A814" s="8"/>
      <c r="B814" s="39"/>
      <c r="C814" s="40"/>
      <c r="D814" s="41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31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</row>
    <row r="815">
      <c r="A815" s="8"/>
      <c r="B815" s="39"/>
      <c r="C815" s="40"/>
      <c r="D815" s="41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31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</row>
    <row r="816">
      <c r="A816" s="8"/>
      <c r="B816" s="39"/>
      <c r="C816" s="40"/>
      <c r="D816" s="41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31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</row>
    <row r="817">
      <c r="A817" s="8"/>
      <c r="B817" s="39"/>
      <c r="C817" s="40"/>
      <c r="D817" s="41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31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</row>
    <row r="818">
      <c r="A818" s="8"/>
      <c r="B818" s="39"/>
      <c r="C818" s="40"/>
      <c r="D818" s="41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31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</row>
    <row r="819">
      <c r="A819" s="8"/>
      <c r="B819" s="39"/>
      <c r="C819" s="40"/>
      <c r="D819" s="41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31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</row>
    <row r="820">
      <c r="A820" s="8"/>
      <c r="B820" s="39"/>
      <c r="C820" s="40"/>
      <c r="D820" s="41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31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</row>
    <row r="821">
      <c r="A821" s="8"/>
      <c r="B821" s="39"/>
      <c r="C821" s="40"/>
      <c r="D821" s="41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31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</row>
    <row r="822">
      <c r="A822" s="8"/>
      <c r="B822" s="39"/>
      <c r="C822" s="40"/>
      <c r="D822" s="41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31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</row>
    <row r="823">
      <c r="A823" s="8"/>
      <c r="B823" s="39"/>
      <c r="C823" s="40"/>
      <c r="D823" s="41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31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</row>
    <row r="824">
      <c r="A824" s="8"/>
      <c r="B824" s="39"/>
      <c r="C824" s="40"/>
      <c r="D824" s="41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31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</row>
    <row r="825">
      <c r="A825" s="8"/>
      <c r="B825" s="39"/>
      <c r="C825" s="40"/>
      <c r="D825" s="41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31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</row>
    <row r="826">
      <c r="A826" s="8"/>
      <c r="B826" s="39"/>
      <c r="C826" s="40"/>
      <c r="D826" s="41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31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</row>
    <row r="827">
      <c r="A827" s="8"/>
      <c r="B827" s="39"/>
      <c r="C827" s="40"/>
      <c r="D827" s="41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31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</row>
    <row r="828">
      <c r="A828" s="8"/>
      <c r="B828" s="39"/>
      <c r="C828" s="40"/>
      <c r="D828" s="41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31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</row>
    <row r="829">
      <c r="A829" s="8"/>
      <c r="B829" s="39"/>
      <c r="C829" s="40"/>
      <c r="D829" s="41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31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</row>
    <row r="830">
      <c r="A830" s="8"/>
      <c r="B830" s="39"/>
      <c r="C830" s="40"/>
      <c r="D830" s="41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31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</row>
    <row r="831">
      <c r="A831" s="8"/>
      <c r="B831" s="39"/>
      <c r="C831" s="40"/>
      <c r="D831" s="41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31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</row>
    <row r="832">
      <c r="A832" s="8"/>
      <c r="B832" s="39"/>
      <c r="C832" s="40"/>
      <c r="D832" s="41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31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</row>
    <row r="833">
      <c r="A833" s="8"/>
      <c r="B833" s="39"/>
      <c r="C833" s="40"/>
      <c r="D833" s="41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31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</row>
    <row r="834">
      <c r="A834" s="8"/>
      <c r="B834" s="39"/>
      <c r="C834" s="40"/>
      <c r="D834" s="41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31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</row>
    <row r="835">
      <c r="A835" s="8"/>
      <c r="B835" s="39"/>
      <c r="C835" s="40"/>
      <c r="D835" s="41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31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</row>
    <row r="836">
      <c r="A836" s="8"/>
      <c r="B836" s="39"/>
      <c r="C836" s="40"/>
      <c r="D836" s="41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31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</row>
    <row r="837">
      <c r="A837" s="8"/>
      <c r="B837" s="39"/>
      <c r="C837" s="40"/>
      <c r="D837" s="41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31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</row>
    <row r="838">
      <c r="A838" s="8"/>
      <c r="B838" s="39"/>
      <c r="C838" s="40"/>
      <c r="D838" s="41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31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</row>
    <row r="839">
      <c r="A839" s="8"/>
      <c r="B839" s="39"/>
      <c r="C839" s="40"/>
      <c r="D839" s="41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31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</row>
    <row r="840">
      <c r="A840" s="8"/>
      <c r="B840" s="39"/>
      <c r="C840" s="40"/>
      <c r="D840" s="41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31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</row>
    <row r="841">
      <c r="A841" s="8"/>
      <c r="B841" s="39"/>
      <c r="C841" s="40"/>
      <c r="D841" s="41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31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</row>
    <row r="842">
      <c r="A842" s="8"/>
      <c r="B842" s="39"/>
      <c r="C842" s="40"/>
      <c r="D842" s="41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31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</row>
    <row r="843">
      <c r="A843" s="8"/>
      <c r="B843" s="39"/>
      <c r="C843" s="40"/>
      <c r="D843" s="41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31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</row>
    <row r="844">
      <c r="A844" s="8"/>
      <c r="B844" s="39"/>
      <c r="C844" s="40"/>
      <c r="D844" s="41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31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</row>
    <row r="845">
      <c r="A845" s="8"/>
      <c r="B845" s="39"/>
      <c r="C845" s="40"/>
      <c r="D845" s="41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31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</row>
    <row r="846">
      <c r="A846" s="8"/>
      <c r="B846" s="39"/>
      <c r="C846" s="40"/>
      <c r="D846" s="41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31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</row>
    <row r="847">
      <c r="A847" s="8"/>
      <c r="B847" s="39"/>
      <c r="C847" s="40"/>
      <c r="D847" s="41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31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</row>
    <row r="848">
      <c r="A848" s="8"/>
      <c r="B848" s="39"/>
      <c r="C848" s="40"/>
      <c r="D848" s="41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31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</row>
    <row r="849">
      <c r="A849" s="8"/>
      <c r="B849" s="39"/>
      <c r="C849" s="40"/>
      <c r="D849" s="41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31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</row>
    <row r="850">
      <c r="A850" s="8"/>
      <c r="B850" s="39"/>
      <c r="C850" s="40"/>
      <c r="D850" s="41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31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</row>
    <row r="851">
      <c r="A851" s="8"/>
      <c r="B851" s="39"/>
      <c r="C851" s="40"/>
      <c r="D851" s="41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31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</row>
    <row r="852">
      <c r="A852" s="8"/>
      <c r="B852" s="39"/>
      <c r="C852" s="40"/>
      <c r="D852" s="41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31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</row>
    <row r="853">
      <c r="A853" s="8"/>
      <c r="B853" s="39"/>
      <c r="C853" s="40"/>
      <c r="D853" s="41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31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</row>
    <row r="854">
      <c r="A854" s="8"/>
      <c r="B854" s="39"/>
      <c r="C854" s="40"/>
      <c r="D854" s="41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31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</row>
    <row r="855">
      <c r="A855" s="8"/>
      <c r="B855" s="39"/>
      <c r="C855" s="40"/>
      <c r="D855" s="41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31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</row>
    <row r="856">
      <c r="A856" s="8"/>
      <c r="B856" s="39"/>
      <c r="C856" s="40"/>
      <c r="D856" s="41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67"/>
      <c r="AO856" s="67"/>
      <c r="AP856" s="67"/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  <c r="BC856" s="31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</row>
    <row r="857">
      <c r="A857" s="8"/>
      <c r="B857" s="39"/>
      <c r="C857" s="40"/>
      <c r="D857" s="41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67"/>
      <c r="AO857" s="67"/>
      <c r="AP857" s="67"/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  <c r="BC857" s="31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</row>
    <row r="858">
      <c r="A858" s="8"/>
      <c r="B858" s="39"/>
      <c r="C858" s="40"/>
      <c r="D858" s="41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67"/>
      <c r="AO858" s="67"/>
      <c r="AP858" s="67"/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  <c r="BC858" s="31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</row>
    <row r="859">
      <c r="A859" s="8"/>
      <c r="B859" s="39"/>
      <c r="C859" s="40"/>
      <c r="D859" s="41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67"/>
      <c r="AO859" s="67"/>
      <c r="AP859" s="67"/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  <c r="BC859" s="31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</row>
    <row r="860">
      <c r="A860" s="8"/>
      <c r="B860" s="39"/>
      <c r="C860" s="40"/>
      <c r="D860" s="41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67"/>
      <c r="AO860" s="67"/>
      <c r="AP860" s="67"/>
      <c r="AQ860" s="67"/>
      <c r="AR860" s="67"/>
      <c r="AS860" s="67"/>
      <c r="AT860" s="67"/>
      <c r="AU860" s="67"/>
      <c r="AV860" s="67"/>
      <c r="AW860" s="67"/>
      <c r="AX860" s="67"/>
      <c r="AY860" s="67"/>
      <c r="AZ860" s="67"/>
      <c r="BA860" s="67"/>
      <c r="BB860" s="67"/>
      <c r="BC860" s="31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</row>
    <row r="861">
      <c r="A861" s="8"/>
      <c r="B861" s="39"/>
      <c r="C861" s="40"/>
      <c r="D861" s="41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67"/>
      <c r="AO861" s="67"/>
      <c r="AP861" s="67"/>
      <c r="AQ861" s="67"/>
      <c r="AR861" s="67"/>
      <c r="AS861" s="67"/>
      <c r="AT861" s="67"/>
      <c r="AU861" s="67"/>
      <c r="AV861" s="67"/>
      <c r="AW861" s="67"/>
      <c r="AX861" s="67"/>
      <c r="AY861" s="67"/>
      <c r="AZ861" s="67"/>
      <c r="BA861" s="67"/>
      <c r="BB861" s="67"/>
      <c r="BC861" s="31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</row>
    <row r="862">
      <c r="A862" s="8"/>
      <c r="B862" s="39"/>
      <c r="C862" s="40"/>
      <c r="D862" s="41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67"/>
      <c r="AO862" s="67"/>
      <c r="AP862" s="67"/>
      <c r="AQ862" s="67"/>
      <c r="AR862" s="67"/>
      <c r="AS862" s="67"/>
      <c r="AT862" s="67"/>
      <c r="AU862" s="67"/>
      <c r="AV862" s="67"/>
      <c r="AW862" s="67"/>
      <c r="AX862" s="67"/>
      <c r="AY862" s="67"/>
      <c r="AZ862" s="67"/>
      <c r="BA862" s="67"/>
      <c r="BB862" s="67"/>
      <c r="BC862" s="31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</row>
    <row r="863">
      <c r="A863" s="8"/>
      <c r="B863" s="39"/>
      <c r="C863" s="40"/>
      <c r="D863" s="41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67"/>
      <c r="AO863" s="67"/>
      <c r="AP863" s="67"/>
      <c r="AQ863" s="67"/>
      <c r="AR863" s="67"/>
      <c r="AS863" s="67"/>
      <c r="AT863" s="67"/>
      <c r="AU863" s="67"/>
      <c r="AV863" s="67"/>
      <c r="AW863" s="67"/>
      <c r="AX863" s="67"/>
      <c r="AY863" s="67"/>
      <c r="AZ863" s="67"/>
      <c r="BA863" s="67"/>
      <c r="BB863" s="67"/>
      <c r="BC863" s="31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</row>
    <row r="864">
      <c r="A864" s="8"/>
      <c r="B864" s="39"/>
      <c r="C864" s="40"/>
      <c r="D864" s="41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67"/>
      <c r="AO864" s="67"/>
      <c r="AP864" s="67"/>
      <c r="AQ864" s="67"/>
      <c r="AR864" s="67"/>
      <c r="AS864" s="67"/>
      <c r="AT864" s="67"/>
      <c r="AU864" s="67"/>
      <c r="AV864" s="67"/>
      <c r="AW864" s="67"/>
      <c r="AX864" s="67"/>
      <c r="AY864" s="67"/>
      <c r="AZ864" s="67"/>
      <c r="BA864" s="67"/>
      <c r="BB864" s="67"/>
      <c r="BC864" s="31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</row>
    <row r="865">
      <c r="A865" s="8"/>
      <c r="B865" s="39"/>
      <c r="C865" s="40"/>
      <c r="D865" s="41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67"/>
      <c r="AO865" s="67"/>
      <c r="AP865" s="67"/>
      <c r="AQ865" s="67"/>
      <c r="AR865" s="67"/>
      <c r="AS865" s="67"/>
      <c r="AT865" s="67"/>
      <c r="AU865" s="67"/>
      <c r="AV865" s="67"/>
      <c r="AW865" s="67"/>
      <c r="AX865" s="67"/>
      <c r="AY865" s="67"/>
      <c r="AZ865" s="67"/>
      <c r="BA865" s="67"/>
      <c r="BB865" s="67"/>
      <c r="BC865" s="31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</row>
    <row r="866">
      <c r="A866" s="8"/>
      <c r="B866" s="39"/>
      <c r="C866" s="40"/>
      <c r="D866" s="41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67"/>
      <c r="AO866" s="67"/>
      <c r="AP866" s="67"/>
      <c r="AQ866" s="67"/>
      <c r="AR866" s="67"/>
      <c r="AS866" s="67"/>
      <c r="AT866" s="67"/>
      <c r="AU866" s="67"/>
      <c r="AV866" s="67"/>
      <c r="AW866" s="67"/>
      <c r="AX866" s="67"/>
      <c r="AY866" s="67"/>
      <c r="AZ866" s="67"/>
      <c r="BA866" s="67"/>
      <c r="BB866" s="67"/>
      <c r="BC866" s="31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</row>
    <row r="867">
      <c r="A867" s="8"/>
      <c r="B867" s="39"/>
      <c r="C867" s="40"/>
      <c r="D867" s="41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67"/>
      <c r="AO867" s="67"/>
      <c r="AP867" s="67"/>
      <c r="AQ867" s="67"/>
      <c r="AR867" s="67"/>
      <c r="AS867" s="67"/>
      <c r="AT867" s="67"/>
      <c r="AU867" s="67"/>
      <c r="AV867" s="67"/>
      <c r="AW867" s="67"/>
      <c r="AX867" s="67"/>
      <c r="AY867" s="67"/>
      <c r="AZ867" s="67"/>
      <c r="BA867" s="67"/>
      <c r="BB867" s="67"/>
      <c r="BC867" s="31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</row>
    <row r="868">
      <c r="A868" s="8"/>
      <c r="B868" s="39"/>
      <c r="C868" s="40"/>
      <c r="D868" s="41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67"/>
      <c r="AO868" s="67"/>
      <c r="AP868" s="67"/>
      <c r="AQ868" s="67"/>
      <c r="AR868" s="67"/>
      <c r="AS868" s="67"/>
      <c r="AT868" s="67"/>
      <c r="AU868" s="67"/>
      <c r="AV868" s="67"/>
      <c r="AW868" s="67"/>
      <c r="AX868" s="67"/>
      <c r="AY868" s="67"/>
      <c r="AZ868" s="67"/>
      <c r="BA868" s="67"/>
      <c r="BB868" s="67"/>
      <c r="BC868" s="31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</row>
    <row r="869">
      <c r="A869" s="8"/>
      <c r="B869" s="39"/>
      <c r="C869" s="40"/>
      <c r="D869" s="41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67"/>
      <c r="AO869" s="67"/>
      <c r="AP869" s="67"/>
      <c r="AQ869" s="67"/>
      <c r="AR869" s="67"/>
      <c r="AS869" s="67"/>
      <c r="AT869" s="67"/>
      <c r="AU869" s="67"/>
      <c r="AV869" s="67"/>
      <c r="AW869" s="67"/>
      <c r="AX869" s="67"/>
      <c r="AY869" s="67"/>
      <c r="AZ869" s="67"/>
      <c r="BA869" s="67"/>
      <c r="BB869" s="67"/>
      <c r="BC869" s="31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</row>
    <row r="870">
      <c r="A870" s="8"/>
      <c r="B870" s="39"/>
      <c r="C870" s="40"/>
      <c r="D870" s="41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67"/>
      <c r="AO870" s="67"/>
      <c r="AP870" s="67"/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  <c r="BC870" s="31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</row>
    <row r="871">
      <c r="A871" s="8"/>
      <c r="B871" s="39"/>
      <c r="C871" s="40"/>
      <c r="D871" s="41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67"/>
      <c r="AO871" s="67"/>
      <c r="AP871" s="67"/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  <c r="BC871" s="31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</row>
    <row r="872">
      <c r="A872" s="8"/>
      <c r="B872" s="39"/>
      <c r="C872" s="40"/>
      <c r="D872" s="41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67"/>
      <c r="AO872" s="67"/>
      <c r="AP872" s="67"/>
      <c r="AQ872" s="67"/>
      <c r="AR872" s="67"/>
      <c r="AS872" s="67"/>
      <c r="AT872" s="67"/>
      <c r="AU872" s="67"/>
      <c r="AV872" s="67"/>
      <c r="AW872" s="67"/>
      <c r="AX872" s="67"/>
      <c r="AY872" s="67"/>
      <c r="AZ872" s="67"/>
      <c r="BA872" s="67"/>
      <c r="BB872" s="67"/>
      <c r="BC872" s="31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</row>
    <row r="873">
      <c r="A873" s="8"/>
      <c r="B873" s="39"/>
      <c r="C873" s="40"/>
      <c r="D873" s="41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67"/>
      <c r="AO873" s="67"/>
      <c r="AP873" s="67"/>
      <c r="AQ873" s="67"/>
      <c r="AR873" s="67"/>
      <c r="AS873" s="67"/>
      <c r="AT873" s="67"/>
      <c r="AU873" s="67"/>
      <c r="AV873" s="67"/>
      <c r="AW873" s="67"/>
      <c r="AX873" s="67"/>
      <c r="AY873" s="67"/>
      <c r="AZ873" s="67"/>
      <c r="BA873" s="67"/>
      <c r="BB873" s="67"/>
      <c r="BC873" s="31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</row>
    <row r="874">
      <c r="A874" s="8"/>
      <c r="B874" s="39"/>
      <c r="C874" s="40"/>
      <c r="D874" s="41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67"/>
      <c r="AO874" s="67"/>
      <c r="AP874" s="67"/>
      <c r="AQ874" s="67"/>
      <c r="AR874" s="67"/>
      <c r="AS874" s="67"/>
      <c r="AT874" s="67"/>
      <c r="AU874" s="67"/>
      <c r="AV874" s="67"/>
      <c r="AW874" s="67"/>
      <c r="AX874" s="67"/>
      <c r="AY874" s="67"/>
      <c r="AZ874" s="67"/>
      <c r="BA874" s="67"/>
      <c r="BB874" s="67"/>
      <c r="BC874" s="31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</row>
    <row r="875">
      <c r="A875" s="8"/>
      <c r="B875" s="39"/>
      <c r="C875" s="40"/>
      <c r="D875" s="41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67"/>
      <c r="AO875" s="67"/>
      <c r="AP875" s="67"/>
      <c r="AQ875" s="67"/>
      <c r="AR875" s="67"/>
      <c r="AS875" s="67"/>
      <c r="AT875" s="67"/>
      <c r="AU875" s="67"/>
      <c r="AV875" s="67"/>
      <c r="AW875" s="67"/>
      <c r="AX875" s="67"/>
      <c r="AY875" s="67"/>
      <c r="AZ875" s="67"/>
      <c r="BA875" s="67"/>
      <c r="BB875" s="67"/>
      <c r="BC875" s="31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</row>
    <row r="876">
      <c r="A876" s="8"/>
      <c r="B876" s="39"/>
      <c r="C876" s="40"/>
      <c r="D876" s="41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67"/>
      <c r="AO876" s="67"/>
      <c r="AP876" s="67"/>
      <c r="AQ876" s="67"/>
      <c r="AR876" s="67"/>
      <c r="AS876" s="67"/>
      <c r="AT876" s="67"/>
      <c r="AU876" s="67"/>
      <c r="AV876" s="67"/>
      <c r="AW876" s="67"/>
      <c r="AX876" s="67"/>
      <c r="AY876" s="67"/>
      <c r="AZ876" s="67"/>
      <c r="BA876" s="67"/>
      <c r="BB876" s="67"/>
      <c r="BC876" s="31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</row>
    <row r="877">
      <c r="A877" s="8"/>
      <c r="B877" s="39"/>
      <c r="C877" s="40"/>
      <c r="D877" s="41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67"/>
      <c r="AO877" s="67"/>
      <c r="AP877" s="67"/>
      <c r="AQ877" s="67"/>
      <c r="AR877" s="67"/>
      <c r="AS877" s="67"/>
      <c r="AT877" s="67"/>
      <c r="AU877" s="67"/>
      <c r="AV877" s="67"/>
      <c r="AW877" s="67"/>
      <c r="AX877" s="67"/>
      <c r="AY877" s="67"/>
      <c r="AZ877" s="67"/>
      <c r="BA877" s="67"/>
      <c r="BB877" s="67"/>
      <c r="BC877" s="31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</row>
    <row r="878">
      <c r="A878" s="8"/>
      <c r="B878" s="39"/>
      <c r="C878" s="40"/>
      <c r="D878" s="41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67"/>
      <c r="AO878" s="67"/>
      <c r="AP878" s="67"/>
      <c r="AQ878" s="67"/>
      <c r="AR878" s="67"/>
      <c r="AS878" s="67"/>
      <c r="AT878" s="67"/>
      <c r="AU878" s="67"/>
      <c r="AV878" s="67"/>
      <c r="AW878" s="67"/>
      <c r="AX878" s="67"/>
      <c r="AY878" s="67"/>
      <c r="AZ878" s="67"/>
      <c r="BA878" s="67"/>
      <c r="BB878" s="67"/>
      <c r="BC878" s="31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</row>
    <row r="879">
      <c r="A879" s="8"/>
      <c r="B879" s="39"/>
      <c r="C879" s="40"/>
      <c r="D879" s="41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67"/>
      <c r="AO879" s="67"/>
      <c r="AP879" s="67"/>
      <c r="AQ879" s="67"/>
      <c r="AR879" s="67"/>
      <c r="AS879" s="67"/>
      <c r="AT879" s="67"/>
      <c r="AU879" s="67"/>
      <c r="AV879" s="67"/>
      <c r="AW879" s="67"/>
      <c r="AX879" s="67"/>
      <c r="AY879" s="67"/>
      <c r="AZ879" s="67"/>
      <c r="BA879" s="67"/>
      <c r="BB879" s="67"/>
      <c r="BC879" s="31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</row>
    <row r="880">
      <c r="A880" s="8"/>
      <c r="B880" s="39"/>
      <c r="C880" s="40"/>
      <c r="D880" s="41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  <c r="BC880" s="31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</row>
    <row r="881">
      <c r="A881" s="8"/>
      <c r="B881" s="39"/>
      <c r="C881" s="40"/>
      <c r="D881" s="41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31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</row>
    <row r="882">
      <c r="A882" s="8"/>
      <c r="B882" s="39"/>
      <c r="C882" s="40"/>
      <c r="D882" s="41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67"/>
      <c r="AO882" s="67"/>
      <c r="AP882" s="67"/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/>
      <c r="BC882" s="31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</row>
    <row r="883">
      <c r="A883" s="8"/>
      <c r="B883" s="39"/>
      <c r="C883" s="40"/>
      <c r="D883" s="41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67"/>
      <c r="AO883" s="67"/>
      <c r="AP883" s="67"/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  <c r="BC883" s="31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</row>
    <row r="884">
      <c r="A884" s="8"/>
      <c r="B884" s="39"/>
      <c r="C884" s="40"/>
      <c r="D884" s="41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31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</row>
    <row r="885">
      <c r="A885" s="8"/>
      <c r="B885" s="39"/>
      <c r="C885" s="40"/>
      <c r="D885" s="41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31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</row>
    <row r="886">
      <c r="A886" s="8"/>
      <c r="B886" s="39"/>
      <c r="C886" s="40"/>
      <c r="D886" s="41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31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</row>
    <row r="887">
      <c r="A887" s="8"/>
      <c r="B887" s="39"/>
      <c r="C887" s="40"/>
      <c r="D887" s="41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31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</row>
    <row r="888">
      <c r="A888" s="8"/>
      <c r="B888" s="39"/>
      <c r="C888" s="40"/>
      <c r="D888" s="41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31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</row>
    <row r="889">
      <c r="A889" s="8"/>
      <c r="B889" s="39"/>
      <c r="C889" s="40"/>
      <c r="D889" s="41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31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</row>
    <row r="890">
      <c r="A890" s="8"/>
      <c r="B890" s="39"/>
      <c r="C890" s="40"/>
      <c r="D890" s="41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31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</row>
    <row r="891">
      <c r="A891" s="8"/>
      <c r="B891" s="39"/>
      <c r="C891" s="40"/>
      <c r="D891" s="41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31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</row>
    <row r="892">
      <c r="A892" s="8"/>
      <c r="B892" s="39"/>
      <c r="C892" s="40"/>
      <c r="D892" s="41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31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</row>
    <row r="893">
      <c r="A893" s="8"/>
      <c r="B893" s="39"/>
      <c r="C893" s="40"/>
      <c r="D893" s="41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31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</row>
    <row r="894">
      <c r="A894" s="8"/>
      <c r="B894" s="39"/>
      <c r="C894" s="40"/>
      <c r="D894" s="41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67"/>
      <c r="AO894" s="67"/>
      <c r="AP894" s="67"/>
      <c r="AQ894" s="67"/>
      <c r="AR894" s="67"/>
      <c r="AS894" s="67"/>
      <c r="AT894" s="67"/>
      <c r="AU894" s="67"/>
      <c r="AV894" s="67"/>
      <c r="AW894" s="67"/>
      <c r="AX894" s="67"/>
      <c r="AY894" s="67"/>
      <c r="AZ894" s="67"/>
      <c r="BA894" s="67"/>
      <c r="BB894" s="67"/>
      <c r="BC894" s="31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</row>
    <row r="895">
      <c r="A895" s="8"/>
      <c r="B895" s="39"/>
      <c r="C895" s="40"/>
      <c r="D895" s="41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67"/>
      <c r="AO895" s="67"/>
      <c r="AP895" s="67"/>
      <c r="AQ895" s="67"/>
      <c r="AR895" s="67"/>
      <c r="AS895" s="67"/>
      <c r="AT895" s="67"/>
      <c r="AU895" s="67"/>
      <c r="AV895" s="67"/>
      <c r="AW895" s="67"/>
      <c r="AX895" s="67"/>
      <c r="AY895" s="67"/>
      <c r="AZ895" s="67"/>
      <c r="BA895" s="67"/>
      <c r="BB895" s="67"/>
      <c r="BC895" s="31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</row>
    <row r="896">
      <c r="A896" s="8"/>
      <c r="B896" s="39"/>
      <c r="C896" s="40"/>
      <c r="D896" s="41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67"/>
      <c r="AO896" s="67"/>
      <c r="AP896" s="67"/>
      <c r="AQ896" s="67"/>
      <c r="AR896" s="67"/>
      <c r="AS896" s="67"/>
      <c r="AT896" s="67"/>
      <c r="AU896" s="67"/>
      <c r="AV896" s="67"/>
      <c r="AW896" s="67"/>
      <c r="AX896" s="67"/>
      <c r="AY896" s="67"/>
      <c r="AZ896" s="67"/>
      <c r="BA896" s="67"/>
      <c r="BB896" s="67"/>
      <c r="BC896" s="31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</row>
    <row r="897">
      <c r="A897" s="8"/>
      <c r="B897" s="39"/>
      <c r="C897" s="40"/>
      <c r="D897" s="41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67"/>
      <c r="AO897" s="67"/>
      <c r="AP897" s="67"/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  <c r="BC897" s="31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</row>
    <row r="898">
      <c r="A898" s="8"/>
      <c r="B898" s="39"/>
      <c r="C898" s="40"/>
      <c r="D898" s="41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31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</row>
    <row r="899">
      <c r="A899" s="8"/>
      <c r="B899" s="39"/>
      <c r="C899" s="40"/>
      <c r="D899" s="41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31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</row>
    <row r="900">
      <c r="A900" s="8"/>
      <c r="B900" s="39"/>
      <c r="C900" s="40"/>
      <c r="D900" s="41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31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</row>
    <row r="901">
      <c r="A901" s="8"/>
      <c r="B901" s="39"/>
      <c r="C901" s="40"/>
      <c r="D901" s="41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31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</row>
    <row r="902">
      <c r="A902" s="8"/>
      <c r="B902" s="39"/>
      <c r="C902" s="40"/>
      <c r="D902" s="41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31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</row>
    <row r="903">
      <c r="A903" s="8"/>
      <c r="B903" s="39"/>
      <c r="C903" s="40"/>
      <c r="D903" s="41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31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</row>
    <row r="904">
      <c r="A904" s="8"/>
      <c r="B904" s="39"/>
      <c r="C904" s="40"/>
      <c r="D904" s="41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67"/>
      <c r="AO904" s="67"/>
      <c r="AP904" s="67"/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  <c r="BC904" s="31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</row>
    <row r="905">
      <c r="A905" s="8"/>
      <c r="B905" s="39"/>
      <c r="C905" s="40"/>
      <c r="D905" s="41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67"/>
      <c r="AO905" s="67"/>
      <c r="AP905" s="67"/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  <c r="BC905" s="31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</row>
    <row r="906">
      <c r="A906" s="8"/>
      <c r="B906" s="39"/>
      <c r="C906" s="40"/>
      <c r="D906" s="41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67"/>
      <c r="AO906" s="67"/>
      <c r="AP906" s="67"/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  <c r="BC906" s="31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</row>
    <row r="907">
      <c r="A907" s="8"/>
      <c r="B907" s="39"/>
      <c r="C907" s="40"/>
      <c r="D907" s="41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67"/>
      <c r="AO907" s="67"/>
      <c r="AP907" s="67"/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  <c r="BC907" s="31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</row>
    <row r="908">
      <c r="A908" s="8"/>
      <c r="B908" s="39"/>
      <c r="C908" s="40"/>
      <c r="D908" s="41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67"/>
      <c r="AO908" s="67"/>
      <c r="AP908" s="67"/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  <c r="BC908" s="31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</row>
    <row r="909">
      <c r="A909" s="8"/>
      <c r="B909" s="39"/>
      <c r="C909" s="40"/>
      <c r="D909" s="41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67"/>
      <c r="AO909" s="67"/>
      <c r="AP909" s="67"/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  <c r="BC909" s="31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</row>
    <row r="910">
      <c r="A910" s="8"/>
      <c r="B910" s="39"/>
      <c r="C910" s="40"/>
      <c r="D910" s="41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67"/>
      <c r="AO910" s="67"/>
      <c r="AP910" s="67"/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  <c r="BC910" s="31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</row>
    <row r="911">
      <c r="A911" s="8"/>
      <c r="B911" s="39"/>
      <c r="C911" s="40"/>
      <c r="D911" s="41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67"/>
      <c r="AO911" s="67"/>
      <c r="AP911" s="67"/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  <c r="BC911" s="31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</row>
    <row r="912">
      <c r="A912" s="8"/>
      <c r="B912" s="39"/>
      <c r="C912" s="40"/>
      <c r="D912" s="41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67"/>
      <c r="AO912" s="67"/>
      <c r="AP912" s="67"/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  <c r="BC912" s="31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</row>
    <row r="913">
      <c r="A913" s="8"/>
      <c r="B913" s="39"/>
      <c r="C913" s="40"/>
      <c r="D913" s="41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67"/>
      <c r="AO913" s="67"/>
      <c r="AP913" s="67"/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  <c r="BC913" s="31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</row>
    <row r="914">
      <c r="A914" s="8"/>
      <c r="B914" s="39"/>
      <c r="C914" s="40"/>
      <c r="D914" s="41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67"/>
      <c r="AO914" s="67"/>
      <c r="AP914" s="67"/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  <c r="BC914" s="31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</row>
    <row r="915">
      <c r="A915" s="8"/>
      <c r="B915" s="39"/>
      <c r="C915" s="40"/>
      <c r="D915" s="41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67"/>
      <c r="AO915" s="67"/>
      <c r="AP915" s="67"/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  <c r="BC915" s="31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</row>
    <row r="916">
      <c r="A916" s="8"/>
      <c r="B916" s="39"/>
      <c r="C916" s="40"/>
      <c r="D916" s="41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67"/>
      <c r="AO916" s="67"/>
      <c r="AP916" s="67"/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  <c r="BC916" s="31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</row>
    <row r="917">
      <c r="A917" s="8"/>
      <c r="B917" s="39"/>
      <c r="C917" s="40"/>
      <c r="D917" s="41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67"/>
      <c r="AO917" s="67"/>
      <c r="AP917" s="67"/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  <c r="BC917" s="31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</row>
    <row r="918">
      <c r="A918" s="8"/>
      <c r="B918" s="39"/>
      <c r="C918" s="40"/>
      <c r="D918" s="41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  <c r="BC918" s="31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</row>
    <row r="919">
      <c r="A919" s="8"/>
      <c r="B919" s="39"/>
      <c r="C919" s="40"/>
      <c r="D919" s="41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31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</row>
    <row r="920">
      <c r="A920" s="8"/>
      <c r="B920" s="39"/>
      <c r="C920" s="40"/>
      <c r="D920" s="41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  <c r="BC920" s="31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</row>
    <row r="921">
      <c r="A921" s="8"/>
      <c r="B921" s="39"/>
      <c r="C921" s="40"/>
      <c r="D921" s="41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  <c r="BC921" s="31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</row>
    <row r="922">
      <c r="A922" s="8"/>
      <c r="B922" s="39"/>
      <c r="C922" s="40"/>
      <c r="D922" s="41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31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</row>
    <row r="923">
      <c r="A923" s="8"/>
      <c r="B923" s="39"/>
      <c r="C923" s="40"/>
      <c r="D923" s="41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31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</row>
    <row r="924">
      <c r="A924" s="8"/>
      <c r="B924" s="39"/>
      <c r="C924" s="40"/>
      <c r="D924" s="41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31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</row>
    <row r="925">
      <c r="A925" s="8"/>
      <c r="B925" s="39"/>
      <c r="C925" s="40"/>
      <c r="D925" s="41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31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</row>
    <row r="926">
      <c r="A926" s="8"/>
      <c r="B926" s="39"/>
      <c r="C926" s="40"/>
      <c r="D926" s="41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31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</row>
    <row r="927">
      <c r="A927" s="8"/>
      <c r="B927" s="39"/>
      <c r="C927" s="40"/>
      <c r="D927" s="41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31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</row>
    <row r="928">
      <c r="A928" s="8"/>
      <c r="B928" s="39"/>
      <c r="C928" s="40"/>
      <c r="D928" s="41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31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</row>
    <row r="929">
      <c r="A929" s="8"/>
      <c r="B929" s="39"/>
      <c r="C929" s="40"/>
      <c r="D929" s="41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31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</row>
    <row r="930">
      <c r="A930" s="8"/>
      <c r="B930" s="39"/>
      <c r="C930" s="40"/>
      <c r="D930" s="41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31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</row>
    <row r="931">
      <c r="A931" s="8"/>
      <c r="B931" s="39"/>
      <c r="C931" s="40"/>
      <c r="D931" s="41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31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</row>
    <row r="932">
      <c r="A932" s="8"/>
      <c r="B932" s="39"/>
      <c r="C932" s="40"/>
      <c r="D932" s="41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67"/>
      <c r="AO932" s="67"/>
      <c r="AP932" s="67"/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  <c r="BC932" s="31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</row>
    <row r="933">
      <c r="A933" s="8"/>
      <c r="B933" s="39"/>
      <c r="C933" s="40"/>
      <c r="D933" s="41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67"/>
      <c r="AO933" s="67"/>
      <c r="AP933" s="67"/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  <c r="BC933" s="31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</row>
    <row r="934">
      <c r="A934" s="8"/>
      <c r="B934" s="39"/>
      <c r="C934" s="40"/>
      <c r="D934" s="41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67"/>
      <c r="AO934" s="67"/>
      <c r="AP934" s="67"/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  <c r="BC934" s="31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</row>
    <row r="935">
      <c r="A935" s="8"/>
      <c r="B935" s="39"/>
      <c r="C935" s="40"/>
      <c r="D935" s="41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67"/>
      <c r="AO935" s="67"/>
      <c r="AP935" s="67"/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  <c r="BC935" s="31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</row>
    <row r="936">
      <c r="A936" s="8"/>
      <c r="B936" s="39"/>
      <c r="C936" s="40"/>
      <c r="D936" s="41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31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</row>
    <row r="937">
      <c r="A937" s="8"/>
      <c r="B937" s="39"/>
      <c r="C937" s="40"/>
      <c r="D937" s="41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31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</row>
    <row r="938">
      <c r="A938" s="8"/>
      <c r="B938" s="39"/>
      <c r="C938" s="40"/>
      <c r="D938" s="41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67"/>
      <c r="AO938" s="67"/>
      <c r="AP938" s="67"/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  <c r="BC938" s="31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</row>
    <row r="939">
      <c r="A939" s="8"/>
      <c r="B939" s="39"/>
      <c r="C939" s="40"/>
      <c r="D939" s="41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67"/>
      <c r="AO939" s="67"/>
      <c r="AP939" s="67"/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  <c r="BC939" s="31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</row>
    <row r="940">
      <c r="A940" s="8"/>
      <c r="B940" s="39"/>
      <c r="C940" s="40"/>
      <c r="D940" s="41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31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</row>
    <row r="941">
      <c r="A941" s="8"/>
      <c r="B941" s="39"/>
      <c r="C941" s="40"/>
      <c r="D941" s="41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31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</row>
    <row r="942">
      <c r="A942" s="8"/>
      <c r="B942" s="39"/>
      <c r="C942" s="40"/>
      <c r="D942" s="41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67"/>
      <c r="AO942" s="67"/>
      <c r="AP942" s="67"/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  <c r="BC942" s="31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</row>
    <row r="943">
      <c r="A943" s="8"/>
      <c r="B943" s="39"/>
      <c r="C943" s="40"/>
      <c r="D943" s="41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67"/>
      <c r="AO943" s="67"/>
      <c r="AP943" s="67"/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  <c r="BC943" s="31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</row>
    <row r="944">
      <c r="A944" s="8"/>
      <c r="B944" s="39"/>
      <c r="C944" s="40"/>
      <c r="D944" s="41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31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</row>
    <row r="945">
      <c r="A945" s="8"/>
      <c r="B945" s="39"/>
      <c r="C945" s="40"/>
      <c r="D945" s="41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31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</row>
    <row r="946">
      <c r="A946" s="8"/>
      <c r="B946" s="39"/>
      <c r="C946" s="40"/>
      <c r="D946" s="41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31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</row>
    <row r="947">
      <c r="A947" s="8"/>
      <c r="B947" s="39"/>
      <c r="C947" s="40"/>
      <c r="D947" s="41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31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</row>
    <row r="948">
      <c r="A948" s="8"/>
      <c r="B948" s="39"/>
      <c r="C948" s="40"/>
      <c r="D948" s="41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31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</row>
    <row r="949">
      <c r="A949" s="8"/>
      <c r="B949" s="39"/>
      <c r="C949" s="40"/>
      <c r="D949" s="41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67"/>
      <c r="AO949" s="67"/>
      <c r="AP949" s="67"/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  <c r="BC949" s="31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</row>
    <row r="950">
      <c r="A950" s="8"/>
      <c r="B950" s="39"/>
      <c r="C950" s="40"/>
      <c r="D950" s="41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67"/>
      <c r="AO950" s="67"/>
      <c r="AP950" s="67"/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  <c r="BC950" s="31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</row>
    <row r="951">
      <c r="A951" s="8"/>
      <c r="B951" s="39"/>
      <c r="C951" s="40"/>
      <c r="D951" s="41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67"/>
      <c r="AO951" s="67"/>
      <c r="AP951" s="67"/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  <c r="BC951" s="31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</row>
    <row r="952">
      <c r="A952" s="8"/>
      <c r="B952" s="39"/>
      <c r="C952" s="40"/>
      <c r="D952" s="41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67"/>
      <c r="AO952" s="67"/>
      <c r="AP952" s="67"/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  <c r="BC952" s="31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</row>
    <row r="953">
      <c r="A953" s="8"/>
      <c r="B953" s="39"/>
      <c r="C953" s="40"/>
      <c r="D953" s="41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67"/>
      <c r="AO953" s="67"/>
      <c r="AP953" s="67"/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  <c r="BC953" s="31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</row>
    <row r="954">
      <c r="A954" s="8"/>
      <c r="B954" s="39"/>
      <c r="C954" s="40"/>
      <c r="D954" s="41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67"/>
      <c r="AO954" s="67"/>
      <c r="AP954" s="67"/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  <c r="BC954" s="31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</row>
    <row r="955">
      <c r="A955" s="8"/>
      <c r="B955" s="39"/>
      <c r="C955" s="40"/>
      <c r="D955" s="41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67"/>
      <c r="AO955" s="67"/>
      <c r="AP955" s="67"/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  <c r="BC955" s="31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</row>
    <row r="956">
      <c r="A956" s="8"/>
      <c r="B956" s="39"/>
      <c r="C956" s="40"/>
      <c r="D956" s="41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  <c r="BC956" s="31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</row>
    <row r="957">
      <c r="A957" s="8"/>
      <c r="B957" s="39"/>
      <c r="C957" s="40"/>
      <c r="D957" s="41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31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</row>
    <row r="958">
      <c r="A958" s="8"/>
      <c r="B958" s="39"/>
      <c r="C958" s="40"/>
      <c r="D958" s="41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67"/>
      <c r="AO958" s="67"/>
      <c r="AP958" s="67"/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  <c r="BC958" s="31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</row>
    <row r="959">
      <c r="A959" s="8"/>
      <c r="B959" s="39"/>
      <c r="C959" s="40"/>
      <c r="D959" s="41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67"/>
      <c r="AO959" s="67"/>
      <c r="AP959" s="67"/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  <c r="BC959" s="31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</row>
    <row r="960">
      <c r="A960" s="8"/>
      <c r="B960" s="39"/>
      <c r="C960" s="40"/>
      <c r="D960" s="41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31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</row>
    <row r="961">
      <c r="A961" s="8"/>
      <c r="B961" s="39"/>
      <c r="C961" s="40"/>
      <c r="D961" s="41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31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</row>
    <row r="962">
      <c r="A962" s="8"/>
      <c r="B962" s="39"/>
      <c r="C962" s="40"/>
      <c r="D962" s="41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31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</row>
    <row r="963">
      <c r="A963" s="8"/>
      <c r="B963" s="39"/>
      <c r="C963" s="40"/>
      <c r="D963" s="41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31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</row>
    <row r="964">
      <c r="A964" s="8"/>
      <c r="B964" s="39"/>
      <c r="C964" s="40"/>
      <c r="D964" s="41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31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</row>
    <row r="965">
      <c r="A965" s="8"/>
      <c r="B965" s="39"/>
      <c r="C965" s="40"/>
      <c r="D965" s="41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31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</row>
    <row r="966">
      <c r="A966" s="8"/>
      <c r="B966" s="39"/>
      <c r="C966" s="40"/>
      <c r="D966" s="41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31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</row>
    <row r="967">
      <c r="A967" s="8"/>
      <c r="B967" s="39"/>
      <c r="C967" s="40"/>
      <c r="D967" s="41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31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</row>
    <row r="968">
      <c r="A968" s="8"/>
      <c r="B968" s="39"/>
      <c r="C968" s="40"/>
      <c r="D968" s="41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31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</row>
    <row r="969">
      <c r="A969" s="8"/>
      <c r="B969" s="39"/>
      <c r="C969" s="40"/>
      <c r="D969" s="41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31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</row>
    <row r="970">
      <c r="A970" s="8"/>
      <c r="B970" s="39"/>
      <c r="C970" s="40"/>
      <c r="D970" s="41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67"/>
      <c r="AO970" s="67"/>
      <c r="AP970" s="67"/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  <c r="BC970" s="31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</row>
    <row r="971">
      <c r="A971" s="8"/>
      <c r="B971" s="39"/>
      <c r="C971" s="40"/>
      <c r="D971" s="41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67"/>
      <c r="AO971" s="67"/>
      <c r="AP971" s="67"/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  <c r="BC971" s="31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</row>
    <row r="972">
      <c r="A972" s="8"/>
      <c r="B972" s="39"/>
      <c r="C972" s="40"/>
      <c r="D972" s="41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67"/>
      <c r="AO972" s="67"/>
      <c r="AP972" s="67"/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  <c r="BC972" s="31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</row>
    <row r="973">
      <c r="A973" s="8"/>
      <c r="B973" s="39"/>
      <c r="C973" s="40"/>
      <c r="D973" s="41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67"/>
      <c r="AO973" s="67"/>
      <c r="AP973" s="67"/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  <c r="BC973" s="31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</row>
    <row r="974">
      <c r="A974" s="8"/>
      <c r="B974" s="39"/>
      <c r="C974" s="40"/>
      <c r="D974" s="41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67"/>
      <c r="AO974" s="67"/>
      <c r="AP974" s="67"/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  <c r="BC974" s="31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</row>
    <row r="975">
      <c r="A975" s="8"/>
      <c r="B975" s="39"/>
      <c r="C975" s="40"/>
      <c r="D975" s="41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67"/>
      <c r="AO975" s="67"/>
      <c r="AP975" s="67"/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31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</row>
    <row r="976">
      <c r="A976" s="8"/>
      <c r="B976" s="39"/>
      <c r="C976" s="40"/>
      <c r="D976" s="41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67"/>
      <c r="AO976" s="67"/>
      <c r="AP976" s="67"/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  <c r="BC976" s="31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</row>
    <row r="977">
      <c r="A977" s="8"/>
      <c r="B977" s="39"/>
      <c r="C977" s="40"/>
      <c r="D977" s="41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67"/>
      <c r="AO977" s="67"/>
      <c r="AP977" s="67"/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  <c r="BC977" s="31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</row>
    <row r="978">
      <c r="A978" s="8"/>
      <c r="B978" s="39"/>
      <c r="C978" s="40"/>
      <c r="D978" s="41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67"/>
      <c r="AO978" s="67"/>
      <c r="AP978" s="67"/>
      <c r="AQ978" s="67"/>
      <c r="AR978" s="67"/>
      <c r="AS978" s="67"/>
      <c r="AT978" s="67"/>
      <c r="AU978" s="67"/>
      <c r="AV978" s="67"/>
      <c r="AW978" s="67"/>
      <c r="AX978" s="67"/>
      <c r="AY978" s="67"/>
      <c r="AZ978" s="67"/>
      <c r="BA978" s="67"/>
      <c r="BB978" s="67"/>
      <c r="BC978" s="31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</row>
    <row r="979">
      <c r="A979" s="8"/>
      <c r="B979" s="39"/>
      <c r="C979" s="40"/>
      <c r="D979" s="41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67"/>
      <c r="AO979" s="67"/>
      <c r="AP979" s="67"/>
      <c r="AQ979" s="67"/>
      <c r="AR979" s="67"/>
      <c r="AS979" s="67"/>
      <c r="AT979" s="67"/>
      <c r="AU979" s="67"/>
      <c r="AV979" s="67"/>
      <c r="AW979" s="67"/>
      <c r="AX979" s="67"/>
      <c r="AY979" s="67"/>
      <c r="AZ979" s="67"/>
      <c r="BA979" s="67"/>
      <c r="BB979" s="67"/>
      <c r="BC979" s="31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</row>
    <row r="980">
      <c r="A980" s="8"/>
      <c r="B980" s="39"/>
      <c r="C980" s="40"/>
      <c r="D980" s="41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67"/>
      <c r="AO980" s="67"/>
      <c r="AP980" s="67"/>
      <c r="AQ980" s="67"/>
      <c r="AR980" s="67"/>
      <c r="AS980" s="67"/>
      <c r="AT980" s="67"/>
      <c r="AU980" s="67"/>
      <c r="AV980" s="67"/>
      <c r="AW980" s="67"/>
      <c r="AX980" s="67"/>
      <c r="AY980" s="67"/>
      <c r="AZ980" s="67"/>
      <c r="BA980" s="67"/>
      <c r="BB980" s="67"/>
      <c r="BC980" s="31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</row>
    <row r="981">
      <c r="A981" s="8"/>
      <c r="B981" s="39"/>
      <c r="C981" s="40"/>
      <c r="D981" s="41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67"/>
      <c r="AO981" s="67"/>
      <c r="AP981" s="67"/>
      <c r="AQ981" s="67"/>
      <c r="AR981" s="67"/>
      <c r="AS981" s="67"/>
      <c r="AT981" s="67"/>
      <c r="AU981" s="67"/>
      <c r="AV981" s="67"/>
      <c r="AW981" s="67"/>
      <c r="AX981" s="67"/>
      <c r="AY981" s="67"/>
      <c r="AZ981" s="67"/>
      <c r="BA981" s="67"/>
      <c r="BB981" s="67"/>
      <c r="BC981" s="31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</row>
    <row r="982">
      <c r="A982" s="8"/>
      <c r="B982" s="39"/>
      <c r="C982" s="40"/>
      <c r="D982" s="41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67"/>
      <c r="AO982" s="67"/>
      <c r="AP982" s="67"/>
      <c r="AQ982" s="67"/>
      <c r="AR982" s="67"/>
      <c r="AS982" s="67"/>
      <c r="AT982" s="67"/>
      <c r="AU982" s="67"/>
      <c r="AV982" s="67"/>
      <c r="AW982" s="67"/>
      <c r="AX982" s="67"/>
      <c r="AY982" s="67"/>
      <c r="AZ982" s="67"/>
      <c r="BA982" s="67"/>
      <c r="BB982" s="67"/>
      <c r="BC982" s="31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</row>
    <row r="983">
      <c r="A983" s="8"/>
      <c r="B983" s="39"/>
      <c r="C983" s="40"/>
      <c r="D983" s="41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67"/>
      <c r="AO983" s="67"/>
      <c r="AP983" s="67"/>
      <c r="AQ983" s="67"/>
      <c r="AR983" s="67"/>
      <c r="AS983" s="67"/>
      <c r="AT983" s="67"/>
      <c r="AU983" s="67"/>
      <c r="AV983" s="67"/>
      <c r="AW983" s="67"/>
      <c r="AX983" s="67"/>
      <c r="AY983" s="67"/>
      <c r="AZ983" s="67"/>
      <c r="BA983" s="67"/>
      <c r="BB983" s="67"/>
      <c r="BC983" s="31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</row>
    <row r="984">
      <c r="A984" s="8"/>
      <c r="B984" s="39"/>
      <c r="C984" s="40"/>
      <c r="D984" s="41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67"/>
      <c r="AO984" s="67"/>
      <c r="AP984" s="67"/>
      <c r="AQ984" s="67"/>
      <c r="AR984" s="67"/>
      <c r="AS984" s="67"/>
      <c r="AT984" s="67"/>
      <c r="AU984" s="67"/>
      <c r="AV984" s="67"/>
      <c r="AW984" s="67"/>
      <c r="AX984" s="67"/>
      <c r="AY984" s="67"/>
      <c r="AZ984" s="67"/>
      <c r="BA984" s="67"/>
      <c r="BB984" s="67"/>
      <c r="BC984" s="31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</row>
    <row r="985">
      <c r="A985" s="8"/>
      <c r="B985" s="39"/>
      <c r="C985" s="40"/>
      <c r="D985" s="41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67"/>
      <c r="AO985" s="67"/>
      <c r="AP985" s="67"/>
      <c r="AQ985" s="67"/>
      <c r="AR985" s="67"/>
      <c r="AS985" s="67"/>
      <c r="AT985" s="67"/>
      <c r="AU985" s="67"/>
      <c r="AV985" s="67"/>
      <c r="AW985" s="67"/>
      <c r="AX985" s="67"/>
      <c r="AY985" s="67"/>
      <c r="AZ985" s="67"/>
      <c r="BA985" s="67"/>
      <c r="BB985" s="67"/>
      <c r="BC985" s="31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</row>
    <row r="986">
      <c r="A986" s="8"/>
      <c r="B986" s="39"/>
      <c r="C986" s="40"/>
      <c r="D986" s="41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67"/>
      <c r="AO986" s="67"/>
      <c r="AP986" s="67"/>
      <c r="AQ986" s="67"/>
      <c r="AR986" s="67"/>
      <c r="AS986" s="67"/>
      <c r="AT986" s="67"/>
      <c r="AU986" s="67"/>
      <c r="AV986" s="67"/>
      <c r="AW986" s="67"/>
      <c r="AX986" s="67"/>
      <c r="AY986" s="67"/>
      <c r="AZ986" s="67"/>
      <c r="BA986" s="67"/>
      <c r="BB986" s="67"/>
      <c r="BC986" s="31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</row>
    <row r="987">
      <c r="A987" s="8"/>
      <c r="B987" s="39"/>
      <c r="C987" s="40"/>
      <c r="D987" s="41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67"/>
      <c r="AO987" s="67"/>
      <c r="AP987" s="67"/>
      <c r="AQ987" s="67"/>
      <c r="AR987" s="67"/>
      <c r="AS987" s="67"/>
      <c r="AT987" s="67"/>
      <c r="AU987" s="67"/>
      <c r="AV987" s="67"/>
      <c r="AW987" s="67"/>
      <c r="AX987" s="67"/>
      <c r="AY987" s="67"/>
      <c r="AZ987" s="67"/>
      <c r="BA987" s="67"/>
      <c r="BB987" s="67"/>
      <c r="BC987" s="31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</row>
    <row r="988">
      <c r="A988" s="8"/>
      <c r="B988" s="39"/>
      <c r="C988" s="40"/>
      <c r="D988" s="41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67"/>
      <c r="AO988" s="67"/>
      <c r="AP988" s="67"/>
      <c r="AQ988" s="67"/>
      <c r="AR988" s="67"/>
      <c r="AS988" s="67"/>
      <c r="AT988" s="67"/>
      <c r="AU988" s="67"/>
      <c r="AV988" s="67"/>
      <c r="AW988" s="67"/>
      <c r="AX988" s="67"/>
      <c r="AY988" s="67"/>
      <c r="AZ988" s="67"/>
      <c r="BA988" s="67"/>
      <c r="BB988" s="67"/>
      <c r="BC988" s="31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</row>
    <row r="989">
      <c r="A989" s="8"/>
      <c r="B989" s="39"/>
      <c r="C989" s="40"/>
      <c r="D989" s="41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67"/>
      <c r="AO989" s="67"/>
      <c r="AP989" s="67"/>
      <c r="AQ989" s="67"/>
      <c r="AR989" s="67"/>
      <c r="AS989" s="67"/>
      <c r="AT989" s="67"/>
      <c r="AU989" s="67"/>
      <c r="AV989" s="67"/>
      <c r="AW989" s="67"/>
      <c r="AX989" s="67"/>
      <c r="AY989" s="67"/>
      <c r="AZ989" s="67"/>
      <c r="BA989" s="67"/>
      <c r="BB989" s="67"/>
      <c r="BC989" s="31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</row>
    <row r="990">
      <c r="A990" s="8"/>
      <c r="B990" s="39"/>
      <c r="C990" s="40"/>
      <c r="D990" s="41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67"/>
      <c r="AO990" s="67"/>
      <c r="AP990" s="67"/>
      <c r="AQ990" s="67"/>
      <c r="AR990" s="67"/>
      <c r="AS990" s="67"/>
      <c r="AT990" s="67"/>
      <c r="AU990" s="67"/>
      <c r="AV990" s="67"/>
      <c r="AW990" s="67"/>
      <c r="AX990" s="67"/>
      <c r="AY990" s="67"/>
      <c r="AZ990" s="67"/>
      <c r="BA990" s="67"/>
      <c r="BB990" s="67"/>
      <c r="BC990" s="31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</row>
    <row r="991">
      <c r="A991" s="8"/>
      <c r="B991" s="39"/>
      <c r="C991" s="40"/>
      <c r="D991" s="41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67"/>
      <c r="AO991" s="67"/>
      <c r="AP991" s="67"/>
      <c r="AQ991" s="67"/>
      <c r="AR991" s="67"/>
      <c r="AS991" s="67"/>
      <c r="AT991" s="67"/>
      <c r="AU991" s="67"/>
      <c r="AV991" s="67"/>
      <c r="AW991" s="67"/>
      <c r="AX991" s="67"/>
      <c r="AY991" s="67"/>
      <c r="AZ991" s="67"/>
      <c r="BA991" s="67"/>
      <c r="BB991" s="67"/>
      <c r="BC991" s="31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</row>
    <row r="992">
      <c r="A992" s="8"/>
      <c r="B992" s="39"/>
      <c r="C992" s="40"/>
      <c r="D992" s="41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67"/>
      <c r="AO992" s="67"/>
      <c r="AP992" s="67"/>
      <c r="AQ992" s="67"/>
      <c r="AR992" s="67"/>
      <c r="AS992" s="67"/>
      <c r="AT992" s="67"/>
      <c r="AU992" s="67"/>
      <c r="AV992" s="67"/>
      <c r="AW992" s="67"/>
      <c r="AX992" s="67"/>
      <c r="AY992" s="67"/>
      <c r="AZ992" s="67"/>
      <c r="BA992" s="67"/>
      <c r="BB992" s="67"/>
      <c r="BC992" s="31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</row>
    <row r="993">
      <c r="A993" s="8"/>
      <c r="B993" s="39"/>
      <c r="C993" s="40"/>
      <c r="D993" s="41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67"/>
      <c r="AO993" s="67"/>
      <c r="AP993" s="67"/>
      <c r="AQ993" s="67"/>
      <c r="AR993" s="67"/>
      <c r="AS993" s="67"/>
      <c r="AT993" s="67"/>
      <c r="AU993" s="67"/>
      <c r="AV993" s="67"/>
      <c r="AW993" s="67"/>
      <c r="AX993" s="67"/>
      <c r="AY993" s="67"/>
      <c r="AZ993" s="67"/>
      <c r="BA993" s="67"/>
      <c r="BB993" s="67"/>
      <c r="BC993" s="31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</row>
    <row r="994">
      <c r="A994" s="8"/>
      <c r="B994" s="39"/>
      <c r="C994" s="40"/>
      <c r="D994" s="41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/>
      <c r="AX994" s="67"/>
      <c r="AY994" s="67"/>
      <c r="AZ994" s="67"/>
      <c r="BA994" s="67"/>
      <c r="BB994" s="67"/>
      <c r="BC994" s="31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</row>
    <row r="995">
      <c r="A995" s="8"/>
      <c r="B995" s="39"/>
      <c r="C995" s="40"/>
      <c r="D995" s="41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31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</row>
    <row r="996">
      <c r="A996" s="8"/>
      <c r="B996" s="39"/>
      <c r="C996" s="40"/>
      <c r="D996" s="41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67"/>
      <c r="AO996" s="67"/>
      <c r="AP996" s="67"/>
      <c r="AQ996" s="67"/>
      <c r="AR996" s="67"/>
      <c r="AS996" s="67"/>
      <c r="AT996" s="67"/>
      <c r="AU996" s="67"/>
      <c r="AV996" s="67"/>
      <c r="AW996" s="67"/>
      <c r="AX996" s="67"/>
      <c r="AY996" s="67"/>
      <c r="AZ996" s="67"/>
      <c r="BA996" s="67"/>
      <c r="BB996" s="67"/>
      <c r="BC996" s="31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</row>
    <row r="997">
      <c r="A997" s="8"/>
      <c r="B997" s="39"/>
      <c r="C997" s="40"/>
      <c r="D997" s="41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67"/>
      <c r="AO997" s="67"/>
      <c r="AP997" s="67"/>
      <c r="AQ997" s="67"/>
      <c r="AR997" s="67"/>
      <c r="AS997" s="67"/>
      <c r="AT997" s="67"/>
      <c r="AU997" s="67"/>
      <c r="AV997" s="67"/>
      <c r="AW997" s="67"/>
      <c r="AX997" s="67"/>
      <c r="AY997" s="67"/>
      <c r="AZ997" s="67"/>
      <c r="BA997" s="67"/>
      <c r="BB997" s="67"/>
      <c r="BC997" s="31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</row>
    <row r="998">
      <c r="A998" s="8"/>
      <c r="B998" s="39"/>
      <c r="C998" s="40"/>
      <c r="D998" s="41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67"/>
      <c r="AO998" s="67"/>
      <c r="AP998" s="67"/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  <c r="BC998" s="31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</row>
    <row r="999">
      <c r="A999" s="8"/>
      <c r="B999" s="39"/>
      <c r="C999" s="40"/>
      <c r="D999" s="41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67"/>
      <c r="AO999" s="67"/>
      <c r="AP999" s="67"/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  <c r="BC999" s="31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</row>
    <row r="1000">
      <c r="A1000" s="8"/>
      <c r="B1000" s="39"/>
      <c r="C1000" s="40"/>
      <c r="D1000" s="41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31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</row>
    <row r="1001">
      <c r="A1001" s="8"/>
      <c r="B1001" s="39"/>
      <c r="C1001" s="40"/>
      <c r="D1001" s="41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67"/>
      <c r="AO1001" s="67"/>
      <c r="AP1001" s="67"/>
      <c r="AQ1001" s="67"/>
      <c r="AR1001" s="67"/>
      <c r="AS1001" s="67"/>
      <c r="AT1001" s="67"/>
      <c r="AU1001" s="67"/>
      <c r="AV1001" s="67"/>
      <c r="AW1001" s="67"/>
      <c r="AX1001" s="67"/>
      <c r="AY1001" s="67"/>
      <c r="AZ1001" s="67"/>
      <c r="BA1001" s="67"/>
      <c r="BB1001" s="67"/>
      <c r="BC1001" s="31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</row>
    <row r="1002">
      <c r="A1002" s="8"/>
      <c r="B1002" s="39"/>
      <c r="C1002" s="40"/>
      <c r="D1002" s="41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67"/>
      <c r="AO1002" s="67"/>
      <c r="AP1002" s="67"/>
      <c r="AQ1002" s="67"/>
      <c r="AR1002" s="67"/>
      <c r="AS1002" s="67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31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</row>
    <row r="1003">
      <c r="A1003" s="8"/>
      <c r="B1003" s="39"/>
      <c r="C1003" s="40"/>
      <c r="D1003" s="41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67"/>
      <c r="AO1003" s="67"/>
      <c r="AP1003" s="67"/>
      <c r="AQ1003" s="67"/>
      <c r="AR1003" s="67"/>
      <c r="AS1003" s="67"/>
      <c r="AT1003" s="67"/>
      <c r="AU1003" s="67"/>
      <c r="AV1003" s="67"/>
      <c r="AW1003" s="67"/>
      <c r="AX1003" s="67"/>
      <c r="AY1003" s="67"/>
      <c r="AZ1003" s="67"/>
      <c r="BA1003" s="67"/>
      <c r="BB1003" s="67"/>
      <c r="BC1003" s="31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</row>
    <row r="1004">
      <c r="A1004" s="8"/>
      <c r="B1004" s="39"/>
      <c r="C1004" s="40"/>
      <c r="D1004" s="41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67"/>
      <c r="AO1004" s="67"/>
      <c r="AP1004" s="67"/>
      <c r="AQ1004" s="67"/>
      <c r="AR1004" s="67"/>
      <c r="AS1004" s="67"/>
      <c r="AT1004" s="67"/>
      <c r="AU1004" s="67"/>
      <c r="AV1004" s="67"/>
      <c r="AW1004" s="67"/>
      <c r="AX1004" s="67"/>
      <c r="AY1004" s="67"/>
      <c r="AZ1004" s="67"/>
      <c r="BA1004" s="67"/>
      <c r="BB1004" s="67"/>
      <c r="BC1004" s="31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</row>
    <row r="1005">
      <c r="A1005" s="8"/>
      <c r="B1005" s="39"/>
      <c r="C1005" s="40"/>
      <c r="D1005" s="41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67"/>
      <c r="AO1005" s="67"/>
      <c r="AP1005" s="67"/>
      <c r="AQ1005" s="67"/>
      <c r="AR1005" s="67"/>
      <c r="AS1005" s="67"/>
      <c r="AT1005" s="67"/>
      <c r="AU1005" s="67"/>
      <c r="AV1005" s="67"/>
      <c r="AW1005" s="67"/>
      <c r="AX1005" s="67"/>
      <c r="AY1005" s="67"/>
      <c r="AZ1005" s="67"/>
      <c r="BA1005" s="67"/>
      <c r="BB1005" s="67"/>
      <c r="BC1005" s="31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</row>
    <row r="1006">
      <c r="A1006" s="8"/>
      <c r="B1006" s="39"/>
      <c r="C1006" s="40"/>
      <c r="D1006" s="41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67"/>
      <c r="AO1006" s="67"/>
      <c r="AP1006" s="67"/>
      <c r="AQ1006" s="67"/>
      <c r="AR1006" s="67"/>
      <c r="AS1006" s="67"/>
      <c r="AT1006" s="67"/>
      <c r="AU1006" s="67"/>
      <c r="AV1006" s="67"/>
      <c r="AW1006" s="67"/>
      <c r="AX1006" s="67"/>
      <c r="AY1006" s="67"/>
      <c r="AZ1006" s="67"/>
      <c r="BA1006" s="67"/>
      <c r="BB1006" s="67"/>
      <c r="BC1006" s="31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</row>
    <row r="1007">
      <c r="A1007" s="8"/>
      <c r="B1007" s="39"/>
      <c r="C1007" s="40"/>
      <c r="D1007" s="41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67"/>
      <c r="AO1007" s="67"/>
      <c r="AP1007" s="67"/>
      <c r="AQ1007" s="67"/>
      <c r="AR1007" s="67"/>
      <c r="AS1007" s="67"/>
      <c r="AT1007" s="67"/>
      <c r="AU1007" s="67"/>
      <c r="AV1007" s="67"/>
      <c r="AW1007" s="67"/>
      <c r="AX1007" s="67"/>
      <c r="AY1007" s="67"/>
      <c r="AZ1007" s="67"/>
      <c r="BA1007" s="67"/>
      <c r="BB1007" s="67"/>
      <c r="BC1007" s="31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</row>
    <row r="1008">
      <c r="A1008" s="8"/>
      <c r="B1008" s="39"/>
      <c r="C1008" s="40"/>
      <c r="D1008" s="41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67"/>
      <c r="AO1008" s="67"/>
      <c r="AP1008" s="67"/>
      <c r="AQ1008" s="67"/>
      <c r="AR1008" s="67"/>
      <c r="AS1008" s="67"/>
      <c r="AT1008" s="67"/>
      <c r="AU1008" s="67"/>
      <c r="AV1008" s="67"/>
      <c r="AW1008" s="67"/>
      <c r="AX1008" s="67"/>
      <c r="AY1008" s="67"/>
      <c r="AZ1008" s="67"/>
      <c r="BA1008" s="67"/>
      <c r="BB1008" s="67"/>
      <c r="BC1008" s="31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</row>
    <row r="1009">
      <c r="A1009" s="8"/>
      <c r="B1009" s="39"/>
      <c r="C1009" s="40"/>
      <c r="D1009" s="41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67"/>
      <c r="AO1009" s="67"/>
      <c r="AP1009" s="67"/>
      <c r="AQ1009" s="67"/>
      <c r="AR1009" s="67"/>
      <c r="AS1009" s="67"/>
      <c r="AT1009" s="67"/>
      <c r="AU1009" s="67"/>
      <c r="AV1009" s="67"/>
      <c r="AW1009" s="67"/>
      <c r="AX1009" s="67"/>
      <c r="AY1009" s="67"/>
      <c r="AZ1009" s="67"/>
      <c r="BA1009" s="67"/>
      <c r="BB1009" s="67"/>
      <c r="BC1009" s="31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</row>
    <row r="1010">
      <c r="A1010" s="8"/>
      <c r="B1010" s="39"/>
      <c r="C1010" s="40"/>
      <c r="D1010" s="41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67"/>
      <c r="AO1010" s="67"/>
      <c r="AP1010" s="67"/>
      <c r="AQ1010" s="67"/>
      <c r="AR1010" s="67"/>
      <c r="AS1010" s="67"/>
      <c r="AT1010" s="67"/>
      <c r="AU1010" s="67"/>
      <c r="AV1010" s="67"/>
      <c r="AW1010" s="67"/>
      <c r="AX1010" s="67"/>
      <c r="AY1010" s="67"/>
      <c r="AZ1010" s="67"/>
      <c r="BA1010" s="67"/>
      <c r="BB1010" s="67"/>
      <c r="BC1010" s="31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</row>
    <row r="1011">
      <c r="A1011" s="8"/>
      <c r="B1011" s="39"/>
      <c r="C1011" s="40"/>
      <c r="D1011" s="41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67"/>
      <c r="AO1011" s="67"/>
      <c r="AP1011" s="67"/>
      <c r="AQ1011" s="67"/>
      <c r="AR1011" s="67"/>
      <c r="AS1011" s="67"/>
      <c r="AT1011" s="67"/>
      <c r="AU1011" s="67"/>
      <c r="AV1011" s="67"/>
      <c r="AW1011" s="67"/>
      <c r="AX1011" s="67"/>
      <c r="AY1011" s="67"/>
      <c r="AZ1011" s="67"/>
      <c r="BA1011" s="67"/>
      <c r="BB1011" s="67"/>
      <c r="BC1011" s="31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</row>
    <row r="1012">
      <c r="A1012" s="8"/>
      <c r="B1012" s="39"/>
      <c r="C1012" s="40"/>
      <c r="D1012" s="41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67"/>
      <c r="AO1012" s="67"/>
      <c r="AP1012" s="67"/>
      <c r="AQ1012" s="67"/>
      <c r="AR1012" s="67"/>
      <c r="AS1012" s="67"/>
      <c r="AT1012" s="67"/>
      <c r="AU1012" s="67"/>
      <c r="AV1012" s="67"/>
      <c r="AW1012" s="67"/>
      <c r="AX1012" s="67"/>
      <c r="AY1012" s="67"/>
      <c r="AZ1012" s="67"/>
      <c r="BA1012" s="67"/>
      <c r="BB1012" s="67"/>
      <c r="BC1012" s="31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</row>
    <row r="1013">
      <c r="A1013" s="8"/>
      <c r="B1013" s="39"/>
      <c r="C1013" s="40"/>
      <c r="D1013" s="41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67"/>
      <c r="AO1013" s="67"/>
      <c r="AP1013" s="67"/>
      <c r="AQ1013" s="67"/>
      <c r="AR1013" s="67"/>
      <c r="AS1013" s="67"/>
      <c r="AT1013" s="67"/>
      <c r="AU1013" s="67"/>
      <c r="AV1013" s="67"/>
      <c r="AW1013" s="67"/>
      <c r="AX1013" s="67"/>
      <c r="AY1013" s="67"/>
      <c r="AZ1013" s="67"/>
      <c r="BA1013" s="67"/>
      <c r="BB1013" s="67"/>
      <c r="BC1013" s="31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</row>
    <row r="1014">
      <c r="A1014" s="8"/>
      <c r="B1014" s="39"/>
      <c r="C1014" s="40"/>
      <c r="D1014" s="41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67"/>
      <c r="AO1014" s="67"/>
      <c r="AP1014" s="67"/>
      <c r="AQ1014" s="67"/>
      <c r="AR1014" s="67"/>
      <c r="AS1014" s="67"/>
      <c r="AT1014" s="67"/>
      <c r="AU1014" s="67"/>
      <c r="AV1014" s="67"/>
      <c r="AW1014" s="67"/>
      <c r="AX1014" s="67"/>
      <c r="AY1014" s="67"/>
      <c r="AZ1014" s="67"/>
      <c r="BA1014" s="67"/>
      <c r="BB1014" s="67"/>
      <c r="BC1014" s="31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</row>
    <row r="1015">
      <c r="A1015" s="8"/>
      <c r="B1015" s="39"/>
      <c r="C1015" s="40"/>
      <c r="D1015" s="41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67"/>
      <c r="AO1015" s="67"/>
      <c r="AP1015" s="67"/>
      <c r="AQ1015" s="67"/>
      <c r="AR1015" s="67"/>
      <c r="AS1015" s="67"/>
      <c r="AT1015" s="67"/>
      <c r="AU1015" s="67"/>
      <c r="AV1015" s="67"/>
      <c r="AW1015" s="67"/>
      <c r="AX1015" s="67"/>
      <c r="AY1015" s="67"/>
      <c r="AZ1015" s="67"/>
      <c r="BA1015" s="67"/>
      <c r="BB1015" s="67"/>
      <c r="BC1015" s="31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</row>
    <row r="1016">
      <c r="A1016" s="8"/>
      <c r="B1016" s="39"/>
      <c r="C1016" s="40"/>
      <c r="D1016" s="41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67"/>
      <c r="AO1016" s="67"/>
      <c r="AP1016" s="67"/>
      <c r="AQ1016" s="67"/>
      <c r="AR1016" s="67"/>
      <c r="AS1016" s="67"/>
      <c r="AT1016" s="67"/>
      <c r="AU1016" s="67"/>
      <c r="AV1016" s="67"/>
      <c r="AW1016" s="67"/>
      <c r="AX1016" s="67"/>
      <c r="AY1016" s="67"/>
      <c r="AZ1016" s="67"/>
      <c r="BA1016" s="67"/>
      <c r="BB1016" s="67"/>
      <c r="BC1016" s="31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</row>
    <row r="1017">
      <c r="A1017" s="8"/>
      <c r="B1017" s="39"/>
      <c r="C1017" s="40"/>
      <c r="D1017" s="41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67"/>
      <c r="AO1017" s="67"/>
      <c r="AP1017" s="67"/>
      <c r="AQ1017" s="67"/>
      <c r="AR1017" s="67"/>
      <c r="AS1017" s="67"/>
      <c r="AT1017" s="67"/>
      <c r="AU1017" s="67"/>
      <c r="AV1017" s="67"/>
      <c r="AW1017" s="67"/>
      <c r="AX1017" s="67"/>
      <c r="AY1017" s="67"/>
      <c r="AZ1017" s="67"/>
      <c r="BA1017" s="67"/>
      <c r="BB1017" s="67"/>
      <c r="BC1017" s="31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</row>
    <row r="1018">
      <c r="A1018" s="8"/>
      <c r="B1018" s="39"/>
      <c r="C1018" s="40"/>
      <c r="D1018" s="41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67"/>
      <c r="AO1018" s="67"/>
      <c r="AP1018" s="67"/>
      <c r="AQ1018" s="67"/>
      <c r="AR1018" s="67"/>
      <c r="AS1018" s="67"/>
      <c r="AT1018" s="67"/>
      <c r="AU1018" s="67"/>
      <c r="AV1018" s="67"/>
      <c r="AW1018" s="67"/>
      <c r="AX1018" s="67"/>
      <c r="AY1018" s="67"/>
      <c r="AZ1018" s="67"/>
      <c r="BA1018" s="67"/>
      <c r="BB1018" s="67"/>
      <c r="BC1018" s="31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</row>
    <row r="1019">
      <c r="A1019" s="8"/>
      <c r="B1019" s="39"/>
      <c r="C1019" s="40"/>
      <c r="D1019" s="41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31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</row>
    <row r="1020">
      <c r="A1020" s="8"/>
      <c r="B1020" s="39"/>
      <c r="C1020" s="40"/>
      <c r="D1020" s="41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31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</row>
    <row r="1021">
      <c r="A1021" s="8"/>
      <c r="B1021" s="39"/>
      <c r="C1021" s="40"/>
      <c r="D1021" s="41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31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</row>
    <row r="1022">
      <c r="A1022" s="8"/>
      <c r="B1022" s="39"/>
      <c r="C1022" s="40"/>
      <c r="D1022" s="41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31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</row>
    <row r="1023">
      <c r="A1023" s="8"/>
      <c r="B1023" s="39"/>
      <c r="C1023" s="40"/>
      <c r="D1023" s="41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31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</row>
    <row r="1024">
      <c r="A1024" s="8"/>
      <c r="B1024" s="39"/>
      <c r="C1024" s="40"/>
      <c r="D1024" s="41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31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</row>
    <row r="1025">
      <c r="A1025" s="8"/>
      <c r="B1025" s="39"/>
      <c r="C1025" s="40"/>
      <c r="D1025" s="41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</row>
  </sheetData>
  <autoFilter ref="$A$1:$BY$3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0"/>
  </cols>
  <sheetData>
    <row r="1"/>
    <row r="2"/>
    <row r="3"/>
    <row r="4"/>
    <row r="5"/>
    <row r="6">
      <c r="E6" s="19"/>
      <c r="G6" s="20"/>
    </row>
    <row r="7"/>
    <row r="14">
      <c r="A14" s="21" t="s">
        <v>27</v>
      </c>
      <c r="B14" s="17" t="s">
        <v>11</v>
      </c>
    </row>
    <row r="15">
      <c r="A15" s="17" t="s">
        <v>6</v>
      </c>
      <c r="B15" s="22">
        <v>1201.12</v>
      </c>
    </row>
    <row r="16">
      <c r="A16" s="17" t="s">
        <v>13</v>
      </c>
      <c r="B16" s="22">
        <v>2576.52</v>
      </c>
    </row>
    <row r="17">
      <c r="A17" s="17" t="s">
        <v>28</v>
      </c>
      <c r="B17" s="22">
        <v>10781.39</v>
      </c>
    </row>
    <row r="18">
      <c r="A18" s="17" t="s">
        <v>12</v>
      </c>
      <c r="B18" s="22">
        <v>0.0</v>
      </c>
    </row>
    <row r="19">
      <c r="A19" s="23" t="s">
        <v>14</v>
      </c>
      <c r="B19" s="22">
        <v>2627.04</v>
      </c>
    </row>
    <row r="20">
      <c r="A20" s="17" t="s">
        <v>15</v>
      </c>
      <c r="B20" s="22">
        <v>17186.07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